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K Property\"/>
    </mc:Choice>
  </mc:AlternateContent>
  <xr:revisionPtr revIDLastSave="0" documentId="13_ncr:1_{3A9B8976-D726-404B-AE38-1F9CDB3C48A5}" xr6:coauthVersionLast="47" xr6:coauthVersionMax="47" xr10:uidLastSave="{00000000-0000-0000-0000-000000000000}"/>
  <bookViews>
    <workbookView xWindow="57480" yWindow="-120" windowWidth="29040" windowHeight="15720" firstSheet="2" activeTab="2" xr2:uid="{BD537204-1593-463A-B505-F4D9D8C266EC}"/>
  </bookViews>
  <sheets>
    <sheet name="DL17 0PZ" sheetId="1" state="hidden" r:id="rId1"/>
    <sheet name="DL17 0PZ Matrix" sheetId="2" state="hidden" r:id="rId2"/>
    <sheet name="Dashboard" sheetId="5" r:id="rId3"/>
    <sheet name="Beta Calculation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3" i="5" l="1"/>
  <c r="X33" i="5" s="1"/>
  <c r="B15" i="2"/>
  <c r="B14" i="2"/>
  <c r="B13" i="2"/>
  <c r="B11" i="2"/>
  <c r="B10" i="2"/>
  <c r="B1" i="2"/>
  <c r="B2" i="2"/>
  <c r="B3" i="2"/>
  <c r="B4" i="2"/>
  <c r="B5" i="2"/>
  <c r="B6" i="2"/>
  <c r="E24" i="5"/>
  <c r="E22" i="5"/>
  <c r="B12" i="2" s="1"/>
  <c r="E17" i="5"/>
  <c r="H49" i="2" s="1"/>
  <c r="H56" i="2" s="1"/>
  <c r="H45" i="2"/>
  <c r="G45" i="2"/>
  <c r="F45" i="2"/>
  <c r="E45" i="2"/>
  <c r="D45" i="2"/>
  <c r="J36" i="5"/>
  <c r="C7" i="4"/>
  <c r="D6" i="4" s="1"/>
  <c r="B7" i="4"/>
  <c r="E38" i="2"/>
  <c r="F38" i="2" s="1"/>
  <c r="G38" i="2" s="1"/>
  <c r="H38" i="2" s="1"/>
  <c r="E18" i="5" l="1"/>
  <c r="D20" i="2"/>
  <c r="H50" i="2" a="1"/>
  <c r="H50" i="2" s="1"/>
  <c r="E19" i="5"/>
  <c r="B9" i="2" s="1"/>
  <c r="K36" i="5"/>
  <c r="B7" i="2"/>
  <c r="E4" i="4"/>
  <c r="D3" i="4"/>
  <c r="E5" i="4"/>
  <c r="D4" i="4"/>
  <c r="E6" i="4"/>
  <c r="E2" i="4"/>
  <c r="E3" i="4"/>
  <c r="D2" i="4"/>
  <c r="D5" i="4"/>
  <c r="H33" i="2" l="1"/>
  <c r="G33" i="2"/>
  <c r="F33" i="2"/>
  <c r="E33" i="2"/>
  <c r="D33" i="2"/>
  <c r="B8" i="2"/>
  <c r="C8" i="2" s="1"/>
  <c r="L36" i="5"/>
  <c r="H51" i="2" a="1"/>
  <c r="H51" i="2" s="1"/>
  <c r="E20" i="2"/>
  <c r="E7" i="4"/>
  <c r="D7" i="4"/>
  <c r="C7" i="2" l="1"/>
  <c r="M36" i="5"/>
  <c r="H52" i="2" a="1"/>
  <c r="H52" i="2" s="1"/>
  <c r="F20" i="2"/>
  <c r="E8" i="4"/>
  <c r="C13" i="2" s="1"/>
  <c r="E13" i="2" l="1"/>
  <c r="N36" i="5"/>
  <c r="H54" i="2" s="1" a="1"/>
  <c r="H54" i="2" s="1"/>
  <c r="H53" i="2" a="1"/>
  <c r="H53" i="2" s="1"/>
  <c r="G20" i="2"/>
  <c r="K23" i="5" l="1"/>
  <c r="H20" i="2"/>
  <c r="P38" i="1"/>
  <c r="P28" i="1"/>
  <c r="P24" i="1"/>
  <c r="D24" i="2" s="1"/>
  <c r="E24" i="2" s="1"/>
  <c r="F24" i="2" s="1"/>
  <c r="G24" i="2" s="1"/>
  <c r="H24" i="2" s="1"/>
  <c r="P23" i="1"/>
  <c r="D23" i="2" s="1"/>
  <c r="E23" i="2" s="1"/>
  <c r="F23" i="2" s="1"/>
  <c r="G23" i="2" s="1"/>
  <c r="H23" i="2" s="1"/>
  <c r="P20" i="1"/>
  <c r="B8" i="1"/>
  <c r="O21" i="1"/>
  <c r="N21" i="1"/>
  <c r="M21" i="1"/>
  <c r="L21" i="1"/>
  <c r="K21" i="1"/>
  <c r="J21" i="1"/>
  <c r="I21" i="1"/>
  <c r="H21" i="1"/>
  <c r="G21" i="1"/>
  <c r="F21" i="1"/>
  <c r="E21" i="1"/>
  <c r="D21" i="1"/>
  <c r="H57" i="2" l="1"/>
  <c r="K24" i="5" s="1"/>
  <c r="D28" i="2"/>
  <c r="D21" i="2"/>
  <c r="P21" i="1"/>
  <c r="B14" i="1"/>
  <c r="O27" i="1"/>
  <c r="N27" i="1"/>
  <c r="M27" i="1"/>
  <c r="L27" i="1"/>
  <c r="K27" i="1"/>
  <c r="J27" i="1"/>
  <c r="I27" i="1"/>
  <c r="H27" i="1"/>
  <c r="G27" i="1"/>
  <c r="F27" i="1"/>
  <c r="E27" i="1"/>
  <c r="D27" i="1"/>
  <c r="O26" i="1"/>
  <c r="N26" i="1"/>
  <c r="M26" i="1"/>
  <c r="L26" i="1"/>
  <c r="K26" i="1"/>
  <c r="J26" i="1"/>
  <c r="I26" i="1"/>
  <c r="H26" i="1"/>
  <c r="G26" i="1"/>
  <c r="F26" i="1"/>
  <c r="E26" i="1"/>
  <c r="D26" i="1"/>
  <c r="O25" i="1"/>
  <c r="N25" i="1"/>
  <c r="M25" i="1"/>
  <c r="L25" i="1"/>
  <c r="K25" i="1"/>
  <c r="J25" i="1"/>
  <c r="I25" i="1"/>
  <c r="H25" i="1"/>
  <c r="G25" i="1"/>
  <c r="F25" i="1"/>
  <c r="E25" i="1"/>
  <c r="D25" i="1"/>
  <c r="O22" i="1"/>
  <c r="N22" i="1"/>
  <c r="M22" i="1"/>
  <c r="L22" i="1"/>
  <c r="K22" i="1"/>
  <c r="J22" i="1"/>
  <c r="I22" i="1"/>
  <c r="H22" i="1"/>
  <c r="G22" i="1"/>
  <c r="F22" i="1"/>
  <c r="E22" i="1"/>
  <c r="D22" i="1"/>
  <c r="B7" i="1"/>
  <c r="B9" i="1" s="1"/>
  <c r="E28" i="2" l="1"/>
  <c r="E21" i="2"/>
  <c r="P25" i="1"/>
  <c r="D25" i="2" s="1"/>
  <c r="E25" i="2" s="1"/>
  <c r="F25" i="2" s="1"/>
  <c r="G25" i="2" s="1"/>
  <c r="H25" i="2" s="1"/>
  <c r="P27" i="1"/>
  <c r="D27" i="2" s="1"/>
  <c r="E27" i="2" s="1"/>
  <c r="F27" i="2" s="1"/>
  <c r="G27" i="2" s="1"/>
  <c r="H27" i="2" s="1"/>
  <c r="P22" i="1"/>
  <c r="D22" i="2" s="1"/>
  <c r="P26" i="1"/>
  <c r="D26" i="2" s="1"/>
  <c r="E26" i="2" s="1"/>
  <c r="F26" i="2" s="1"/>
  <c r="G26" i="2" s="1"/>
  <c r="H26" i="2" s="1"/>
  <c r="B16" i="1"/>
  <c r="O33" i="1"/>
  <c r="J31" i="1"/>
  <c r="M31" i="1"/>
  <c r="F31" i="1"/>
  <c r="N31" i="1"/>
  <c r="G31" i="1"/>
  <c r="O31" i="1"/>
  <c r="E31" i="1"/>
  <c r="H31" i="1"/>
  <c r="K31" i="1"/>
  <c r="L31" i="1"/>
  <c r="I31" i="1"/>
  <c r="D31" i="1"/>
  <c r="D31" i="2" l="1"/>
  <c r="D35" i="2" s="1"/>
  <c r="E22" i="2"/>
  <c r="F28" i="2"/>
  <c r="F21" i="2"/>
  <c r="P31" i="1"/>
  <c r="K33" i="1"/>
  <c r="K35" i="1" s="1"/>
  <c r="K37" i="1" s="1"/>
  <c r="O35" i="1"/>
  <c r="O37" i="1" s="1"/>
  <c r="J33" i="1"/>
  <c r="J35" i="1" s="1"/>
  <c r="J37" i="1" s="1"/>
  <c r="D33" i="1"/>
  <c r="I33" i="1"/>
  <c r="I35" i="1" s="1"/>
  <c r="I37" i="1" s="1"/>
  <c r="L33" i="1"/>
  <c r="L35" i="1" s="1"/>
  <c r="L37" i="1" s="1"/>
  <c r="G33" i="1"/>
  <c r="G35" i="1" s="1"/>
  <c r="G37" i="1" s="1"/>
  <c r="E33" i="1"/>
  <c r="E35" i="1" s="1"/>
  <c r="E37" i="1" s="1"/>
  <c r="H33" i="1"/>
  <c r="H35" i="1" s="1"/>
  <c r="H37" i="1" s="1"/>
  <c r="N33" i="1"/>
  <c r="N35" i="1" s="1"/>
  <c r="N37" i="1" s="1"/>
  <c r="F33" i="1"/>
  <c r="F35" i="1" s="1"/>
  <c r="F37" i="1" s="1"/>
  <c r="M33" i="1"/>
  <c r="M35" i="1" s="1"/>
  <c r="M37" i="1" s="1"/>
  <c r="D37" i="2" l="1"/>
  <c r="D40" i="2" s="1"/>
  <c r="D46" i="2" s="1"/>
  <c r="E31" i="2"/>
  <c r="E35" i="2" s="1"/>
  <c r="F22" i="2"/>
  <c r="G22" i="2" s="1"/>
  <c r="H22" i="2" s="1"/>
  <c r="G28" i="2"/>
  <c r="G21" i="2"/>
  <c r="D35" i="1"/>
  <c r="D45" i="1" s="1"/>
  <c r="P33" i="1"/>
  <c r="F45" i="1"/>
  <c r="H40" i="1"/>
  <c r="H45" i="1"/>
  <c r="E40" i="1"/>
  <c r="E45" i="1"/>
  <c r="G45" i="1"/>
  <c r="K45" i="1"/>
  <c r="L40" i="1"/>
  <c r="L45" i="1"/>
  <c r="I40" i="1"/>
  <c r="I45" i="1"/>
  <c r="M45" i="1"/>
  <c r="J40" i="1"/>
  <c r="J45" i="1"/>
  <c r="N45" i="1"/>
  <c r="O40" i="1"/>
  <c r="O45" i="1"/>
  <c r="M40" i="1"/>
  <c r="F40" i="1"/>
  <c r="G40" i="1"/>
  <c r="N40" i="1"/>
  <c r="K40" i="1"/>
  <c r="E37" i="2" l="1"/>
  <c r="E40" i="2" s="1"/>
  <c r="E46" i="2" s="1"/>
  <c r="F31" i="2"/>
  <c r="F35" i="2" s="1"/>
  <c r="G31" i="2"/>
  <c r="G35" i="2" s="1"/>
  <c r="H21" i="2"/>
  <c r="H28" i="2"/>
  <c r="D37" i="1"/>
  <c r="P37" i="1" s="1"/>
  <c r="P35" i="1"/>
  <c r="F37" i="2" l="1"/>
  <c r="F40" i="2" s="1"/>
  <c r="F46" i="2" s="1"/>
  <c r="G37" i="2"/>
  <c r="G40" i="2" s="1"/>
  <c r="G46" i="2" s="1"/>
  <c r="H31" i="2"/>
  <c r="H35" i="2" s="1"/>
  <c r="D40" i="1"/>
  <c r="P40" i="1" s="1"/>
  <c r="H37" i="2" l="1"/>
  <c r="H40" i="2" s="1"/>
  <c r="H43" i="2" s="1"/>
  <c r="H46" i="2" l="1"/>
  <c r="H47" i="2"/>
  <c r="D29" i="5" l="1"/>
  <c r="X34" i="5" s="1"/>
  <c r="X3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<sst xmlns="http://schemas.openxmlformats.org/spreadsheetml/2006/main" count="165" uniqueCount="112">
  <si>
    <t>Purchase Price</t>
  </si>
  <si>
    <t>SDLT</t>
  </si>
  <si>
    <t>Fees</t>
  </si>
  <si>
    <t>Repair</t>
  </si>
  <si>
    <t>Legal Cost</t>
  </si>
  <si>
    <t>Other Cost</t>
  </si>
  <si>
    <t>Total Investment</t>
  </si>
  <si>
    <t>Month 1</t>
  </si>
  <si>
    <t>Month 2</t>
  </si>
  <si>
    <t>Month 3</t>
  </si>
  <si>
    <t>Month 4</t>
  </si>
  <si>
    <t>Month 5</t>
  </si>
  <si>
    <t>Month 6</t>
  </si>
  <si>
    <t>Month 7</t>
  </si>
  <si>
    <t>Month 8</t>
  </si>
  <si>
    <t>Month 9</t>
  </si>
  <si>
    <t>Month 10</t>
  </si>
  <si>
    <t>Month 11</t>
  </si>
  <si>
    <t>Month 12</t>
  </si>
  <si>
    <t>Rent</t>
  </si>
  <si>
    <t>Description</t>
  </si>
  <si>
    <t>Landlord Insurance</t>
  </si>
  <si>
    <t>Public Liability Insurance</t>
  </si>
  <si>
    <t xml:space="preserve">Building Insurance </t>
  </si>
  <si>
    <t>Gas safety inspection</t>
  </si>
  <si>
    <t>EICR Cost</t>
  </si>
  <si>
    <t>EPC</t>
  </si>
  <si>
    <t>R&amp;M</t>
  </si>
  <si>
    <t>Net of costs</t>
  </si>
  <si>
    <t>BTL Mortgage insurance</t>
  </si>
  <si>
    <t>Refinance</t>
  </si>
  <si>
    <t>Taxable Rent</t>
  </si>
  <si>
    <t>Tax</t>
  </si>
  <si>
    <t>CA Cost</t>
  </si>
  <si>
    <t>Net Profit</t>
  </si>
  <si>
    <t>Rental Yeild</t>
  </si>
  <si>
    <t>Downpayment</t>
  </si>
  <si>
    <t>Othe costs</t>
  </si>
  <si>
    <t>Tax Rate</t>
  </si>
  <si>
    <t>Total</t>
  </si>
  <si>
    <t>NET OPERATING INCOME</t>
  </si>
  <si>
    <t>Managing Agent Fees</t>
  </si>
  <si>
    <t>Year 1</t>
  </si>
  <si>
    <t>Year 2</t>
  </si>
  <si>
    <t>Year 3</t>
  </si>
  <si>
    <t>Year 4</t>
  </si>
  <si>
    <t>Year 5</t>
  </si>
  <si>
    <t>Growth Rate</t>
  </si>
  <si>
    <t>Accountant Cost</t>
  </si>
  <si>
    <t>Terminal Value</t>
  </si>
  <si>
    <t>Free Cashflow</t>
  </si>
  <si>
    <t>R&amp;M/Capex</t>
  </si>
  <si>
    <t>Year</t>
  </si>
  <si>
    <t>Property Returns</t>
  </si>
  <si>
    <t>REIT Returns</t>
  </si>
  <si>
    <t>Covariance</t>
  </si>
  <si>
    <t>Mean</t>
  </si>
  <si>
    <t>Variance</t>
  </si>
  <si>
    <t>Beta</t>
  </si>
  <si>
    <t>10 yearGilt Bond yeild</t>
  </si>
  <si>
    <t>Market Return</t>
  </si>
  <si>
    <t xml:space="preserve">Cost of Debt </t>
  </si>
  <si>
    <t>(BTL Mortgage Rate)</t>
  </si>
  <si>
    <t>PROPERTY VALUATION MODEL</t>
  </si>
  <si>
    <t>51 ARTHUR STREET, CHILTON, FERRYHILL, DL17 0PZ</t>
  </si>
  <si>
    <t>Equity Investment</t>
  </si>
  <si>
    <t>Prepetiity Growth Method</t>
  </si>
  <si>
    <t>ZOOPLA</t>
  </si>
  <si>
    <t>RIGHTMOVE</t>
  </si>
  <si>
    <t>AVERAGE</t>
  </si>
  <si>
    <t>COST TO BUY</t>
  </si>
  <si>
    <t>VALUE CREATION</t>
  </si>
  <si>
    <t xml:space="preserve">                                                                                                        PROPERTY VALUATION SUMMARY</t>
  </si>
  <si>
    <t>1. OVERVIEW</t>
  </si>
  <si>
    <t xml:space="preserve">2. Reason for below market pricing </t>
  </si>
  <si>
    <t>3. Repair and Acquisition cost</t>
  </si>
  <si>
    <t>The estimated cost of repairs is £28,000, bringing the total acquisition cost (including purchase and renovation) to £78,000.</t>
  </si>
  <si>
    <t>4. Valuation Methodology</t>
  </si>
  <si>
    <t>The discounted cashflow (DCF) method has been used to estimate the intrinsic value of the property.</t>
  </si>
  <si>
    <t xml:space="preserve">5. Cost of Equity - CAPM Assumptions </t>
  </si>
  <si>
    <t xml:space="preserve"> --&gt; </t>
  </si>
  <si>
    <t>Rm(Market return): Average return from Real Estate Investment Trusts (REITs)</t>
  </si>
  <si>
    <t>6. Cost of Debt</t>
  </si>
  <si>
    <t>The cost of debt was based on the current But to Let mortgage rate, estimated at approximately 5%.</t>
  </si>
  <si>
    <t xml:space="preserve">7. Rental Income forecast and market value (MV) benchmark </t>
  </si>
  <si>
    <t>8. Valuation Outcome</t>
  </si>
  <si>
    <t xml:space="preserve">The total DCF value of the property is estimated at £72,000, indicating an intrinsic value above current market estimates. </t>
  </si>
  <si>
    <t>9. Conclusion</t>
  </si>
  <si>
    <t>51 Arthur Street is a 3 - bedroom freehold property currently available for sale at a price below market value.</t>
  </si>
  <si>
    <t>The property requires substantial refurbishment to reach a livable condition, which justifies its reduced price.</t>
  </si>
  <si>
    <t>Rf(Risk free return):UK 10 year government bond yield</t>
  </si>
  <si>
    <t>Rental income has been projected over a 5-year period, based on local market insights obtained from estate agents. The current MV</t>
  </si>
  <si>
    <t>has been estimated as an average of property listings on Zoopla and Rightmove, approximated at £64,000.</t>
  </si>
  <si>
    <t>Discount Factor</t>
  </si>
  <si>
    <t>Discounted Value</t>
  </si>
  <si>
    <t>Click for updaing WACC after adjusting the inputs</t>
  </si>
  <si>
    <t>Market Return (REIT)</t>
  </si>
  <si>
    <t xml:space="preserve">The current market value of £64k appears to align with a benchmark monthly rental of £540. However, our research suggests that the </t>
  </si>
  <si>
    <t>achievable rent is more likely to be £600 p.m., supported by recent listings and conversations with local agents.  At forecasted rental level, the DCF</t>
  </si>
  <si>
    <t>valuation rises to approximately £74,000, indicating the intrinsic value of property is significantly higher than current MV. This £60 p.m. rental</t>
  </si>
  <si>
    <t>headroom offers an additional buffer, helping to mitigate potential increase in cost of debt, such as raising mortgage interest rates.</t>
  </si>
  <si>
    <t>Additionally, if we opt to list the property on Airbnb, the rental potential could be significantly higher. Despite the need for upfront renovation,</t>
  </si>
  <si>
    <t>the property demonstrates strong income fundamentals and presents a complelling opportunity for value driven investors seeaking long</t>
  </si>
  <si>
    <t>Per month rental income matrix. Can be altered for sensitivity check</t>
  </si>
  <si>
    <t>Year 0</t>
  </si>
  <si>
    <t>IRR</t>
  </si>
  <si>
    <t>CAGR</t>
  </si>
  <si>
    <t>Money Invested</t>
  </si>
  <si>
    <t>Cash generated after 5 years</t>
  </si>
  <si>
    <t xml:space="preserve">term returns. However, CAGR is only 6% which is lower as compared to FTSE250 index returns over 5 years. </t>
  </si>
  <si>
    <t>To calculate the cost of equity Capital Asset Pricing Model (CAPM) was applied: to calculate Beta, below benchmarks were used.</t>
  </si>
  <si>
    <t>DCF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</si>
</sst>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%"/>
    <numFmt numFmtId="165" formatCode="_-* #,##0_-;\-* #,##0_-;_-* &quot;-&quot;??_-;_-@_-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36"/>
      <color theme="0"/>
      <name val="Aptos Narrow"/>
      <family val="2"/>
      <scheme val="minor"/>
    </font>
    <font>
      <sz val="48"/>
      <color theme="0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1">
    <xf numFmtId="0" fontId="0" fillId="0" borderId="0" xfId="0"/>
    <xf numFmtId="43" fontId="0" fillId="0" borderId="0" xfId="1" applyFont="1"/>
    <xf numFmtId="43" fontId="0" fillId="0" borderId="0" xfId="0" applyNumberFormat="1"/>
    <xf numFmtId="9" fontId="0" fillId="0" borderId="0" xfId="2" applyFont="1"/>
    <xf numFmtId="43" fontId="0" fillId="0" borderId="0" xfId="2" applyNumberFormat="1" applyFont="1"/>
    <xf numFmtId="43" fontId="2" fillId="0" borderId="1" xfId="2" applyNumberFormat="1" applyFont="1" applyBorder="1"/>
    <xf numFmtId="43" fontId="2" fillId="0" borderId="0" xfId="2" applyNumberFormat="1" applyFont="1" applyBorder="1"/>
    <xf numFmtId="0" fontId="4" fillId="2" borderId="0" xfId="0" applyFont="1" applyFill="1" applyAlignment="1">
      <alignment horizontal="centerContinuous"/>
    </xf>
    <xf numFmtId="0" fontId="5" fillId="2" borderId="0" xfId="0" applyFont="1" applyFill="1" applyAlignment="1">
      <alignment horizontal="centerContinuous"/>
    </xf>
    <xf numFmtId="43" fontId="5" fillId="2" borderId="0" xfId="2" applyNumberFormat="1" applyFont="1" applyFill="1" applyAlignment="1">
      <alignment horizontal="centerContinuous"/>
    </xf>
    <xf numFmtId="0" fontId="0" fillId="3" borderId="0" xfId="0" applyFill="1"/>
    <xf numFmtId="0" fontId="2" fillId="3" borderId="0" xfId="0" applyFont="1" applyFill="1" applyAlignment="1">
      <alignment horizontal="center" vertical="center"/>
    </xf>
    <xf numFmtId="10" fontId="0" fillId="0" borderId="0" xfId="2" applyNumberFormat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9" fontId="0" fillId="0" borderId="0" xfId="0" applyNumberFormat="1"/>
    <xf numFmtId="164" fontId="0" fillId="0" borderId="0" xfId="0" applyNumberFormat="1"/>
    <xf numFmtId="0" fontId="0" fillId="0" borderId="6" xfId="0" applyBorder="1"/>
    <xf numFmtId="164" fontId="0" fillId="0" borderId="6" xfId="0" applyNumberForma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2" applyNumberFormat="1" applyFont="1"/>
    <xf numFmtId="0" fontId="0" fillId="5" borderId="0" xfId="0" applyFill="1" applyAlignment="1">
      <alignment horizontal="centerContinuous"/>
    </xf>
    <xf numFmtId="43" fontId="2" fillId="5" borderId="0" xfId="1" applyFont="1" applyFill="1" applyBorder="1" applyAlignment="1">
      <alignment vertical="center"/>
    </xf>
    <xf numFmtId="43" fontId="7" fillId="5" borderId="0" xfId="1" applyFont="1" applyFill="1" applyBorder="1" applyAlignment="1">
      <alignment vertical="center"/>
    </xf>
    <xf numFmtId="0" fontId="0" fillId="5" borderId="0" xfId="0" applyFill="1"/>
    <xf numFmtId="0" fontId="6" fillId="5" borderId="0" xfId="0" applyFont="1" applyFill="1"/>
    <xf numFmtId="0" fontId="6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8" fillId="5" borderId="0" xfId="0" applyFont="1" applyFill="1"/>
    <xf numFmtId="9" fontId="0" fillId="5" borderId="0" xfId="0" applyNumberFormat="1" applyFill="1"/>
    <xf numFmtId="0" fontId="0" fillId="4" borderId="6" xfId="0" applyFill="1" applyBorder="1" applyAlignment="1">
      <alignment horizontal="centerContinuous"/>
    </xf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5" xfId="0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left"/>
    </xf>
    <xf numFmtId="165" fontId="0" fillId="5" borderId="0" xfId="1" applyNumberFormat="1" applyFont="1" applyFill="1"/>
    <xf numFmtId="0" fontId="9" fillId="5" borderId="0" xfId="0" applyFont="1" applyFill="1" applyAlignment="1">
      <alignment horizontal="center"/>
    </xf>
    <xf numFmtId="0" fontId="10" fillId="2" borderId="0" xfId="0" applyFont="1" applyFill="1" applyAlignment="1">
      <alignment horizontal="centerContinuous"/>
    </xf>
    <xf numFmtId="0" fontId="11" fillId="2" borderId="0" xfId="0" applyFont="1" applyFill="1" applyAlignment="1">
      <alignment horizontal="center" vertical="center"/>
    </xf>
    <xf numFmtId="0" fontId="2" fillId="4" borderId="5" xfId="0" applyFont="1" applyFill="1" applyBorder="1"/>
    <xf numFmtId="0" fontId="0" fillId="5" borderId="0" xfId="0" applyFill="1" applyAlignment="1">
      <alignment horizontal="left"/>
    </xf>
    <xf numFmtId="0" fontId="0" fillId="5" borderId="0" xfId="0" applyFill="1" applyBorder="1" applyAlignment="1"/>
    <xf numFmtId="10" fontId="2" fillId="5" borderId="0" xfId="2" applyNumberFormat="1" applyFont="1" applyFill="1" applyBorder="1" applyAlignment="1">
      <alignment horizontal="center"/>
    </xf>
    <xf numFmtId="0" fontId="0" fillId="5" borderId="0" xfId="0" applyFill="1" applyAlignment="1">
      <alignment horizontal="left" vertical="center"/>
    </xf>
    <xf numFmtId="0" fontId="0" fillId="5" borderId="0" xfId="0" applyFill="1" applyBorder="1"/>
    <xf numFmtId="0" fontId="0" fillId="5" borderId="0" xfId="0" applyFill="1" applyBorder="1" applyAlignment="1">
      <alignment horizontal="centerContinuous"/>
    </xf>
    <xf numFmtId="9" fontId="0" fillId="5" borderId="0" xfId="2" applyFont="1" applyFill="1" applyBorder="1"/>
    <xf numFmtId="9" fontId="0" fillId="5" borderId="0" xfId="0" applyNumberFormat="1" applyFill="1" applyBorder="1" applyAlignment="1">
      <alignment vertical="center"/>
    </xf>
    <xf numFmtId="9" fontId="0" fillId="5" borderId="0" xfId="0" applyNumberFormat="1" applyFill="1" applyAlignment="1">
      <alignment vertical="center"/>
    </xf>
    <xf numFmtId="0" fontId="0" fillId="4" borderId="0" xfId="0" applyFill="1" applyBorder="1" applyAlignment="1">
      <alignment horizontal="centerContinuous"/>
    </xf>
    <xf numFmtId="0" fontId="0" fillId="4" borderId="0" xfId="0" applyFill="1" applyBorder="1"/>
    <xf numFmtId="0" fontId="0" fillId="0" borderId="0" xfId="0" applyFont="1" applyFill="1" applyAlignment="1">
      <alignment horizontal="center" vertical="center"/>
    </xf>
    <xf numFmtId="9" fontId="12" fillId="5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left" vertical="center"/>
    </xf>
    <xf numFmtId="9" fontId="0" fillId="5" borderId="0" xfId="2" applyFont="1" applyFill="1"/>
    <xf numFmtId="0" fontId="12" fillId="5" borderId="2" xfId="0" applyFont="1" applyFill="1" applyBorder="1"/>
    <xf numFmtId="0" fontId="12" fillId="5" borderId="3" xfId="0" applyFont="1" applyFill="1" applyBorder="1"/>
    <xf numFmtId="9" fontId="12" fillId="5" borderId="4" xfId="0" applyNumberFormat="1" applyFont="1" applyFill="1" applyBorder="1"/>
    <xf numFmtId="0" fontId="12" fillId="5" borderId="7" xfId="0" applyFont="1" applyFill="1" applyBorder="1"/>
    <xf numFmtId="0" fontId="12" fillId="5" borderId="8" xfId="0" applyFont="1" applyFill="1" applyBorder="1"/>
    <xf numFmtId="9" fontId="12" fillId="5" borderId="9" xfId="2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Value Creation Matrix </a:t>
            </a:r>
          </a:p>
        </c:rich>
      </c:tx>
      <c:layout>
        <c:manualLayout>
          <c:xMode val="edge"/>
          <c:yMode val="edge"/>
          <c:x val="0.17024606299212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56411780167538E-2"/>
          <c:y val="0.18763239621317321"/>
          <c:w val="0.85889946630401248"/>
          <c:h val="0.49820520635029653"/>
        </c:manualLayout>
      </c:layout>
      <c:barChart>
        <c:barDir val="col"/>
        <c:grouping val="clustered"/>
        <c:varyColors val="0"/>
        <c:ser>
          <c:idx val="5"/>
          <c:order val="5"/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Dashboard!$R$33:$R$35</c:f>
              <c:strCache>
                <c:ptCount val="3"/>
                <c:pt idx="0">
                  <c:v>COST TO BUY</c:v>
                </c:pt>
                <c:pt idx="1">
                  <c:v>DCF</c:v>
                </c:pt>
                <c:pt idx="2">
                  <c:v>VALUE CREATION</c:v>
                </c:pt>
              </c:strCache>
            </c:strRef>
          </c:cat>
          <c:val>
            <c:numRef>
              <c:f>Dashboard!$X$33:$X$35</c:f>
              <c:numCache>
                <c:formatCode>_(* #,##0.00_);_(* \(#,##0.00\);_(* "-"??_);_(@_)</c:formatCode>
                <c:ptCount val="3"/>
                <c:pt idx="0">
                  <c:v>64000</c:v>
                </c:pt>
                <c:pt idx="1">
                  <c:v>74454.553301761436</c:v>
                </c:pt>
                <c:pt idx="2">
                  <c:v>10454.553301761436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F54-4A2F-8168-0391BC346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15122976"/>
        <c:axId val="51512489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Dashboard!$R$33:$R$35</c15:sqref>
                        </c15:formulaRef>
                      </c:ext>
                    </c:extLst>
                    <c:strCache>
                      <c:ptCount val="3"/>
                      <c:pt idx="0">
                        <c:v>COST TO BUY</c:v>
                      </c:pt>
                      <c:pt idx="1">
                        <c:v>DCF</c:v>
                      </c:pt>
                      <c:pt idx="2">
                        <c:v>VALUE CREATION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Dashboard!$S$28:$S$33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1F54-4A2F-8168-0391BC346C68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Dashboard!$R$33:$R$35</c15:sqref>
                        </c15:formulaRef>
                      </c:ext>
                    </c:extLst>
                    <c:strCache>
                      <c:ptCount val="3"/>
                      <c:pt idx="0">
                        <c:v>COST TO BUY</c:v>
                      </c:pt>
                      <c:pt idx="1">
                        <c:v>DCF</c:v>
                      </c:pt>
                      <c:pt idx="2">
                        <c:v>VALUE CREATION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Dashboard!$T$28:$T$33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F54-4A2F-8168-0391BC346C68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Dashboard!$R$33:$R$35</c15:sqref>
                        </c15:formulaRef>
                      </c:ext>
                    </c:extLst>
                    <c:strCache>
                      <c:ptCount val="3"/>
                      <c:pt idx="0">
                        <c:v>COST TO BUY</c:v>
                      </c:pt>
                      <c:pt idx="1">
                        <c:v>DCF</c:v>
                      </c:pt>
                      <c:pt idx="2">
                        <c:v>VALUE CREATION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Dashboard!$U$28:$U$33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F54-4A2F-8168-0391BC346C68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Dashboard!$R$33:$R$35</c15:sqref>
                        </c15:formulaRef>
                      </c:ext>
                    </c:extLst>
                    <c:strCache>
                      <c:ptCount val="3"/>
                      <c:pt idx="0">
                        <c:v>COST TO BUY</c:v>
                      </c:pt>
                      <c:pt idx="1">
                        <c:v>DCF</c:v>
                      </c:pt>
                      <c:pt idx="2">
                        <c:v>VALUE CREATION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Dashboard!$V$28:$V$33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F54-4A2F-8168-0391BC346C68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Dashboard!$R$33:$R$35</c15:sqref>
                        </c15:formulaRef>
                      </c:ext>
                    </c:extLst>
                    <c:strCache>
                      <c:ptCount val="3"/>
                      <c:pt idx="0">
                        <c:v>COST TO BUY</c:v>
                      </c:pt>
                      <c:pt idx="1">
                        <c:v>DCF</c:v>
                      </c:pt>
                      <c:pt idx="2">
                        <c:v>VALUE CREATION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Dashboard!$W$28:$W$33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F54-4A2F-8168-0391BC346C68}"/>
                  </c:ext>
                </c:extLst>
              </c15:ser>
            </c15:filteredBarSeries>
          </c:ext>
        </c:extLst>
      </c:barChart>
      <c:catAx>
        <c:axId val="51512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24896"/>
        <c:crosses val="autoZero"/>
        <c:auto val="1"/>
        <c:lblAlgn val="ctr"/>
        <c:lblOffset val="100"/>
        <c:noMultiLvlLbl val="0"/>
      </c:catAx>
      <c:valAx>
        <c:axId val="51512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2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21</xdr:row>
      <xdr:rowOff>0</xdr:rowOff>
    </xdr:from>
    <xdr:to>
      <xdr:col>26</xdr:col>
      <xdr:colOff>463824</xdr:colOff>
      <xdr:row>34</xdr:row>
      <xdr:rowOff>130303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7804FD6-9080-A02A-2053-9F4C05599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44450" y="3276600"/>
          <a:ext cx="5340624" cy="2482978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36</xdr:row>
      <xdr:rowOff>85725</xdr:rowOff>
    </xdr:from>
    <xdr:to>
      <xdr:col>26</xdr:col>
      <xdr:colOff>143131</xdr:colOff>
      <xdr:row>47</xdr:row>
      <xdr:rowOff>57251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F2F3A46-CBA2-30B4-C8AF-E6BF70C14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92075" y="6076950"/>
          <a:ext cx="4972306" cy="19622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439327</xdr:colOff>
      <xdr:row>2</xdr:row>
      <xdr:rowOff>44630</xdr:rowOff>
    </xdr:from>
    <xdr:to>
      <xdr:col>12</xdr:col>
      <xdr:colOff>826677</xdr:colOff>
      <xdr:row>11</xdr:row>
      <xdr:rowOff>55876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6956583-E9D4-401C-B9A7-C979E321D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7810" y="1446624"/>
          <a:ext cx="3533811" cy="1648690"/>
        </a:xfrm>
        <a:prstGeom prst="rect">
          <a:avLst/>
        </a:prstGeom>
      </xdr:spPr>
    </xdr:pic>
    <xdr:clientData/>
  </xdr:twoCellAnchor>
  <xdr:twoCellAnchor editAs="oneCell">
    <xdr:from>
      <xdr:col>7</xdr:col>
      <xdr:colOff>438792</xdr:colOff>
      <xdr:row>11</xdr:row>
      <xdr:rowOff>116720</xdr:rowOff>
    </xdr:from>
    <xdr:to>
      <xdr:col>12</xdr:col>
      <xdr:colOff>831493</xdr:colOff>
      <xdr:row>21</xdr:row>
      <xdr:rowOff>54894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DCD46F2-F448-4CDB-B237-57F449000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97275" y="3156158"/>
          <a:ext cx="3535987" cy="1821770"/>
        </a:xfrm>
        <a:prstGeom prst="rect">
          <a:avLst/>
        </a:prstGeom>
      </xdr:spPr>
    </xdr:pic>
    <xdr:clientData/>
  </xdr:twoCellAnchor>
  <xdr:twoCellAnchor>
    <xdr:from>
      <xdr:col>2</xdr:col>
      <xdr:colOff>221073</xdr:colOff>
      <xdr:row>25</xdr:row>
      <xdr:rowOff>139130</xdr:rowOff>
    </xdr:from>
    <xdr:to>
      <xdr:col>4</xdr:col>
      <xdr:colOff>541748</xdr:colOff>
      <xdr:row>27</xdr:row>
      <xdr:rowOff>56330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FDA6D18E-7383-4F60-9FC3-A5EC71AD5D04}"/>
            </a:ext>
          </a:extLst>
        </xdr:cNvPr>
        <xdr:cNvSpPr/>
      </xdr:nvSpPr>
      <xdr:spPr>
        <a:xfrm>
          <a:off x="1441129" y="5789917"/>
          <a:ext cx="2429018" cy="355992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600" b="1"/>
            <a:t>       Discounted Cashfow</a:t>
          </a:r>
        </a:p>
      </xdr:txBody>
    </xdr:sp>
    <xdr:clientData/>
  </xdr:twoCellAnchor>
  <xdr:twoCellAnchor>
    <xdr:from>
      <xdr:col>9</xdr:col>
      <xdr:colOff>66675</xdr:colOff>
      <xdr:row>27</xdr:row>
      <xdr:rowOff>142877</xdr:rowOff>
    </xdr:from>
    <xdr:to>
      <xdr:col>12</xdr:col>
      <xdr:colOff>1252163</xdr:colOff>
      <xdr:row>29</xdr:row>
      <xdr:rowOff>171237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C5DB2D0-D0BB-41A1-BA36-92B6825162C5}"/>
            </a:ext>
          </a:extLst>
        </xdr:cNvPr>
        <xdr:cNvSpPr/>
      </xdr:nvSpPr>
      <xdr:spPr>
        <a:xfrm>
          <a:off x="6445214" y="6232456"/>
          <a:ext cx="3111893" cy="488556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/>
            <a:t>            CURRENT MARKET</a:t>
          </a:r>
          <a:r>
            <a:rPr lang="en-GB" sz="1400" b="1" baseline="0"/>
            <a:t> VALUE</a:t>
          </a:r>
          <a:endParaRPr lang="en-GB" sz="1400" b="1"/>
        </a:p>
      </xdr:txBody>
    </xdr:sp>
    <xdr:clientData/>
  </xdr:twoCellAnchor>
  <xdr:twoCellAnchor>
    <xdr:from>
      <xdr:col>16</xdr:col>
      <xdr:colOff>521234</xdr:colOff>
      <xdr:row>30</xdr:row>
      <xdr:rowOff>99494</xdr:rowOff>
    </xdr:from>
    <xdr:to>
      <xdr:col>24</xdr:col>
      <xdr:colOff>152399</xdr:colOff>
      <xdr:row>31</xdr:row>
      <xdr:rowOff>357989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6F33B70-E1B0-4796-8DDC-008BAD7FE6F5}"/>
            </a:ext>
          </a:extLst>
        </xdr:cNvPr>
        <xdr:cNvSpPr/>
      </xdr:nvSpPr>
      <xdr:spPr>
        <a:xfrm>
          <a:off x="13074970" y="7109466"/>
          <a:ext cx="5378272" cy="62237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2000" b="1"/>
            <a:t>                           VALUE CREATION</a:t>
          </a:r>
          <a:r>
            <a:rPr lang="en-GB" sz="2000" b="1" baseline="0"/>
            <a:t> MATRIX</a:t>
          </a:r>
          <a:endParaRPr lang="en-GB" sz="2000" b="1"/>
        </a:p>
      </xdr:txBody>
    </xdr:sp>
    <xdr:clientData/>
  </xdr:twoCellAnchor>
  <xdr:twoCellAnchor>
    <xdr:from>
      <xdr:col>1</xdr:col>
      <xdr:colOff>200025</xdr:colOff>
      <xdr:row>29</xdr:row>
      <xdr:rowOff>117474</xdr:rowOff>
    </xdr:from>
    <xdr:to>
      <xdr:col>6</xdr:col>
      <xdr:colOff>498474</xdr:colOff>
      <xdr:row>36</xdr:row>
      <xdr:rowOff>88898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3103B7C-4F15-2018-B081-FB2593A129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639067</xdr:colOff>
      <xdr:row>33</xdr:row>
      <xdr:rowOff>200275</xdr:rowOff>
    </xdr:from>
    <xdr:to>
      <xdr:col>10</xdr:col>
      <xdr:colOff>562867</xdr:colOff>
      <xdr:row>33</xdr:row>
      <xdr:rowOff>308225</xdr:rowOff>
    </xdr:to>
    <xdr:sp macro="" textlink="">
      <xdr:nvSpPr>
        <xdr:cNvPr id="12" name="Arrow: Left 11">
          <a:extLst>
            <a:ext uri="{FF2B5EF4-FFF2-40B4-BE49-F238E27FC236}">
              <a16:creationId xmlns:a16="http://schemas.microsoft.com/office/drawing/2014/main" id="{C480F7A4-72B4-FDD9-917E-952996548162}"/>
            </a:ext>
          </a:extLst>
        </xdr:cNvPr>
        <xdr:cNvSpPr/>
      </xdr:nvSpPr>
      <xdr:spPr>
        <a:xfrm>
          <a:off x="7017606" y="8301876"/>
          <a:ext cx="565935" cy="107950"/>
        </a:xfrm>
        <a:prstGeom prst="lef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778231</xdr:rowOff>
    </xdr:from>
    <xdr:to>
      <xdr:col>0</xdr:col>
      <xdr:colOff>400050</xdr:colOff>
      <xdr:row>4</xdr:row>
      <xdr:rowOff>29644</xdr:rowOff>
    </xdr:to>
    <xdr:pic macro="[0]!wacc_cal">
      <xdr:nvPicPr>
        <xdr:cNvPr id="13" name="Graphic 12" descr="Arrow circle with solid fill">
          <a:extLst>
            <a:ext uri="{FF2B5EF4-FFF2-40B4-BE49-F238E27FC236}">
              <a16:creationId xmlns:a16="http://schemas.microsoft.com/office/drawing/2014/main" id="{4EF9594F-2D65-41C4-8E1F-F3FB64F49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378306"/>
          <a:ext cx="400050" cy="410288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3</xdr:row>
      <xdr:rowOff>57150</xdr:rowOff>
    </xdr:from>
    <xdr:to>
      <xdr:col>4</xdr:col>
      <xdr:colOff>352424</xdr:colOff>
      <xdr:row>5</xdr:row>
      <xdr:rowOff>38100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8B354F6-204B-4537-ABB8-3E6CBC199CEA}"/>
            </a:ext>
          </a:extLst>
        </xdr:cNvPr>
        <xdr:cNvSpPr/>
      </xdr:nvSpPr>
      <xdr:spPr>
        <a:xfrm>
          <a:off x="1362075" y="1638300"/>
          <a:ext cx="2314574" cy="3429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2000" b="1"/>
            <a:t>                 WACC</a:t>
          </a:r>
        </a:p>
      </xdr:txBody>
    </xdr:sp>
    <xdr:clientData/>
  </xdr:twoCellAnchor>
  <xdr:twoCellAnchor>
    <xdr:from>
      <xdr:col>1</xdr:col>
      <xdr:colOff>38100</xdr:colOff>
      <xdr:row>2</xdr:row>
      <xdr:rowOff>44450</xdr:rowOff>
    </xdr:from>
    <xdr:to>
      <xdr:col>1</xdr:col>
      <xdr:colOff>600075</xdr:colOff>
      <xdr:row>2</xdr:row>
      <xdr:rowOff>149225</xdr:rowOff>
    </xdr:to>
    <xdr:sp macro="" textlink="">
      <xdr:nvSpPr>
        <xdr:cNvPr id="15" name="Arrow: Left 14">
          <a:extLst>
            <a:ext uri="{FF2B5EF4-FFF2-40B4-BE49-F238E27FC236}">
              <a16:creationId xmlns:a16="http://schemas.microsoft.com/office/drawing/2014/main" id="{D799EB4B-F0FD-4E97-97CD-0531C80145AC}"/>
            </a:ext>
          </a:extLst>
        </xdr:cNvPr>
        <xdr:cNvSpPr/>
      </xdr:nvSpPr>
      <xdr:spPr>
        <a:xfrm>
          <a:off x="647700" y="1444625"/>
          <a:ext cx="561975" cy="104775"/>
        </a:xfrm>
        <a:prstGeom prst="lef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2</xdr:col>
      <xdr:colOff>142875</xdr:colOff>
      <xdr:row>7</xdr:row>
      <xdr:rowOff>57150</xdr:rowOff>
    </xdr:from>
    <xdr:to>
      <xdr:col>4</xdr:col>
      <xdr:colOff>393699</xdr:colOff>
      <xdr:row>9</xdr:row>
      <xdr:rowOff>34925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B077C923-6675-4C74-8FC5-C3964C42606C}"/>
            </a:ext>
          </a:extLst>
        </xdr:cNvPr>
        <xdr:cNvSpPr/>
      </xdr:nvSpPr>
      <xdr:spPr>
        <a:xfrm>
          <a:off x="1362075" y="2362200"/>
          <a:ext cx="2355849" cy="3397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2000" b="1"/>
            <a:t>                INPUTS</a:t>
          </a:r>
        </a:p>
      </xdr:txBody>
    </xdr:sp>
    <xdr:clientData/>
  </xdr:twoCellAnchor>
  <xdr:twoCellAnchor>
    <xdr:from>
      <xdr:col>0</xdr:col>
      <xdr:colOff>67870</xdr:colOff>
      <xdr:row>4</xdr:row>
      <xdr:rowOff>111333</xdr:rowOff>
    </xdr:from>
    <xdr:to>
      <xdr:col>0</xdr:col>
      <xdr:colOff>599786</xdr:colOff>
      <xdr:row>6</xdr:row>
      <xdr:rowOff>111333</xdr:rowOff>
    </xdr:to>
    <xdr:sp macro="[0]!dashboardpdf" textlink="">
      <xdr:nvSpPr>
        <xdr:cNvPr id="20" name="Rectangle 19">
          <a:extLst>
            <a:ext uri="{FF2B5EF4-FFF2-40B4-BE49-F238E27FC236}">
              <a16:creationId xmlns:a16="http://schemas.microsoft.com/office/drawing/2014/main" id="{2E23F717-BB46-1F82-47D1-8D779039C573}"/>
            </a:ext>
          </a:extLst>
        </xdr:cNvPr>
        <xdr:cNvSpPr/>
      </xdr:nvSpPr>
      <xdr:spPr>
        <a:xfrm>
          <a:off x="67870" y="1892632"/>
          <a:ext cx="531916" cy="37110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FA7B5-AFEB-4FBE-91EE-7A6E5EF66BB3}">
  <sheetPr codeName="Sheet1"/>
  <dimension ref="A1:R45"/>
  <sheetViews>
    <sheetView workbookViewId="0">
      <pane xSplit="3" ySplit="19" topLeftCell="D29" activePane="bottomRight" state="frozen"/>
      <selection pane="topRight" activeCell="D1" sqref="D1"/>
      <selection pane="bottomLeft" activeCell="A12" sqref="A12"/>
      <selection pane="bottomRight" activeCell="B11" sqref="B11"/>
    </sheetView>
  </sheetViews>
  <sheetFormatPr defaultRowHeight="14.5" x14ac:dyDescent="0.35"/>
  <cols>
    <col min="1" max="1" width="14.26953125" bestFit="1" customWidth="1"/>
    <col min="2" max="2" width="11.1796875" bestFit="1" customWidth="1"/>
    <col min="3" max="3" width="22.453125" bestFit="1" customWidth="1"/>
    <col min="4" max="4" width="9.1796875" bestFit="1" customWidth="1"/>
    <col min="5" max="5" width="10.1796875" bestFit="1" customWidth="1"/>
    <col min="6" max="13" width="9.1796875" bestFit="1" customWidth="1"/>
    <col min="16" max="16" width="9.1796875" bestFit="1" customWidth="1"/>
  </cols>
  <sheetData>
    <row r="1" spans="1:2" x14ac:dyDescent="0.35">
      <c r="A1" t="s">
        <v>0</v>
      </c>
      <c r="B1" s="1">
        <v>39000</v>
      </c>
    </row>
    <row r="2" spans="1:2" x14ac:dyDescent="0.35">
      <c r="A2" t="s">
        <v>1</v>
      </c>
      <c r="B2" s="1">
        <v>0</v>
      </c>
    </row>
    <row r="3" spans="1:2" x14ac:dyDescent="0.35">
      <c r="A3" t="s">
        <v>2</v>
      </c>
      <c r="B3" s="1">
        <v>7000</v>
      </c>
    </row>
    <row r="4" spans="1:2" x14ac:dyDescent="0.35">
      <c r="A4" t="s">
        <v>3</v>
      </c>
      <c r="B4" s="1">
        <v>28000</v>
      </c>
    </row>
    <row r="5" spans="1:2" x14ac:dyDescent="0.35">
      <c r="A5" t="s">
        <v>4</v>
      </c>
      <c r="B5" s="1">
        <v>2000</v>
      </c>
    </row>
    <row r="6" spans="1:2" x14ac:dyDescent="0.35">
      <c r="A6" t="s">
        <v>5</v>
      </c>
      <c r="B6" s="1">
        <v>2000</v>
      </c>
    </row>
    <row r="7" spans="1:2" x14ac:dyDescent="0.35">
      <c r="A7" t="s">
        <v>6</v>
      </c>
      <c r="B7" s="2">
        <f>SUM(B1:B6)</f>
        <v>78000</v>
      </c>
    </row>
    <row r="8" spans="1:2" x14ac:dyDescent="0.35">
      <c r="A8" t="s">
        <v>30</v>
      </c>
      <c r="B8" s="2">
        <f>-85000*0.75*0</f>
        <v>0</v>
      </c>
    </row>
    <row r="9" spans="1:2" x14ac:dyDescent="0.35">
      <c r="A9" t="s">
        <v>35</v>
      </c>
      <c r="B9" s="3">
        <f>SUM(D20:O20)/B7</f>
        <v>9.2307692307692313E-2</v>
      </c>
    </row>
    <row r="10" spans="1:2" x14ac:dyDescent="0.35">
      <c r="A10" t="s">
        <v>38</v>
      </c>
      <c r="B10" s="3">
        <v>0.25</v>
      </c>
    </row>
    <row r="11" spans="1:2" x14ac:dyDescent="0.35">
      <c r="A11" t="s">
        <v>47</v>
      </c>
      <c r="B11" s="3">
        <v>0.05</v>
      </c>
    </row>
    <row r="12" spans="1:2" x14ac:dyDescent="0.35">
      <c r="B12" s="3"/>
    </row>
    <row r="13" spans="1:2" x14ac:dyDescent="0.35">
      <c r="A13" t="s">
        <v>36</v>
      </c>
      <c r="B13" s="1">
        <v>0</v>
      </c>
    </row>
    <row r="14" spans="1:2" x14ac:dyDescent="0.35">
      <c r="A14" t="s">
        <v>1</v>
      </c>
      <c r="B14" s="4">
        <f>+B2</f>
        <v>0</v>
      </c>
    </row>
    <row r="15" spans="1:2" x14ac:dyDescent="0.35">
      <c r="A15" t="s">
        <v>37</v>
      </c>
      <c r="B15" s="4">
        <v>0</v>
      </c>
    </row>
    <row r="16" spans="1:2" ht="15" thickBot="1" x14ac:dyDescent="0.4">
      <c r="B16" s="5">
        <f>SUM(B13:B15)</f>
        <v>0</v>
      </c>
    </row>
    <row r="17" spans="1:18" ht="15" thickTop="1" x14ac:dyDescent="0.35">
      <c r="B17" s="6"/>
    </row>
    <row r="18" spans="1:18" ht="26" x14ac:dyDescent="0.6">
      <c r="A18" s="8" t="s">
        <v>40</v>
      </c>
      <c r="B18" s="9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</row>
    <row r="19" spans="1:18" x14ac:dyDescent="0.35">
      <c r="A19" s="10"/>
      <c r="B19" s="10"/>
      <c r="C19" s="11" t="s">
        <v>20</v>
      </c>
      <c r="D19" s="11" t="s">
        <v>7</v>
      </c>
      <c r="E19" s="11" t="s">
        <v>8</v>
      </c>
      <c r="F19" s="11" t="s">
        <v>9</v>
      </c>
      <c r="G19" s="11" t="s">
        <v>10</v>
      </c>
      <c r="H19" s="11" t="s">
        <v>11</v>
      </c>
      <c r="I19" s="11" t="s">
        <v>12</v>
      </c>
      <c r="J19" s="11" t="s">
        <v>13</v>
      </c>
      <c r="K19" s="11" t="s">
        <v>14</v>
      </c>
      <c r="L19" s="11" t="s">
        <v>15</v>
      </c>
      <c r="M19" s="11" t="s">
        <v>16</v>
      </c>
      <c r="N19" s="11" t="s">
        <v>17</v>
      </c>
      <c r="O19" s="11" t="s">
        <v>18</v>
      </c>
      <c r="P19" s="11" t="s">
        <v>39</v>
      </c>
    </row>
    <row r="20" spans="1:18" x14ac:dyDescent="0.35">
      <c r="C20" t="s">
        <v>19</v>
      </c>
      <c r="D20" s="1">
        <v>600</v>
      </c>
      <c r="E20" s="1">
        <v>600</v>
      </c>
      <c r="F20" s="1">
        <v>600</v>
      </c>
      <c r="G20" s="1">
        <v>600</v>
      </c>
      <c r="H20" s="1">
        <v>600</v>
      </c>
      <c r="I20" s="1">
        <v>600</v>
      </c>
      <c r="J20" s="1">
        <v>600</v>
      </c>
      <c r="K20" s="1">
        <v>600</v>
      </c>
      <c r="L20" s="1">
        <v>600</v>
      </c>
      <c r="M20" s="1">
        <v>600</v>
      </c>
      <c r="N20" s="1">
        <v>600</v>
      </c>
      <c r="O20" s="1">
        <v>600</v>
      </c>
      <c r="P20" s="2">
        <f>SUM(D20:O20)</f>
        <v>7200</v>
      </c>
    </row>
    <row r="21" spans="1:18" x14ac:dyDescent="0.35">
      <c r="C21" t="s">
        <v>41</v>
      </c>
      <c r="D21" s="1">
        <f>(-D20*0.15)+(-D20*0.15)*0.2</f>
        <v>-108</v>
      </c>
      <c r="E21" s="1">
        <f t="shared" ref="E21:O21" si="0">(-E20*0.15)+(-E20*0.15)*0.2</f>
        <v>-108</v>
      </c>
      <c r="F21" s="1">
        <f t="shared" si="0"/>
        <v>-108</v>
      </c>
      <c r="G21" s="1">
        <f t="shared" si="0"/>
        <v>-108</v>
      </c>
      <c r="H21" s="1">
        <f t="shared" si="0"/>
        <v>-108</v>
      </c>
      <c r="I21" s="1">
        <f t="shared" si="0"/>
        <v>-108</v>
      </c>
      <c r="J21" s="1">
        <f t="shared" si="0"/>
        <v>-108</v>
      </c>
      <c r="K21" s="1">
        <f t="shared" si="0"/>
        <v>-108</v>
      </c>
      <c r="L21" s="1">
        <f t="shared" si="0"/>
        <v>-108</v>
      </c>
      <c r="M21" s="1">
        <f t="shared" si="0"/>
        <v>-108</v>
      </c>
      <c r="N21" s="1">
        <f t="shared" si="0"/>
        <v>-108</v>
      </c>
      <c r="O21" s="1">
        <f t="shared" si="0"/>
        <v>-108</v>
      </c>
      <c r="P21" s="2">
        <f t="shared" ref="P21:P28" si="1">SUM(D21:O21)</f>
        <v>-1296</v>
      </c>
      <c r="Q21" s="2"/>
      <c r="R21" s="2"/>
    </row>
    <row r="22" spans="1:18" x14ac:dyDescent="0.35">
      <c r="C22" t="s">
        <v>21</v>
      </c>
      <c r="D22" s="1">
        <f>-250/12</f>
        <v>-20.833333333333332</v>
      </c>
      <c r="E22" s="1">
        <f t="shared" ref="E22:O22" si="2">-250/12</f>
        <v>-20.833333333333332</v>
      </c>
      <c r="F22" s="1">
        <f t="shared" si="2"/>
        <v>-20.833333333333332</v>
      </c>
      <c r="G22" s="1">
        <f t="shared" si="2"/>
        <v>-20.833333333333332</v>
      </c>
      <c r="H22" s="1">
        <f t="shared" si="2"/>
        <v>-20.833333333333332</v>
      </c>
      <c r="I22" s="1">
        <f t="shared" si="2"/>
        <v>-20.833333333333332</v>
      </c>
      <c r="J22" s="1">
        <f t="shared" si="2"/>
        <v>-20.833333333333332</v>
      </c>
      <c r="K22" s="1">
        <f t="shared" si="2"/>
        <v>-20.833333333333332</v>
      </c>
      <c r="L22" s="1">
        <f t="shared" si="2"/>
        <v>-20.833333333333332</v>
      </c>
      <c r="M22" s="1">
        <f t="shared" si="2"/>
        <v>-20.833333333333332</v>
      </c>
      <c r="N22" s="1">
        <f t="shared" si="2"/>
        <v>-20.833333333333332</v>
      </c>
      <c r="O22" s="1">
        <f t="shared" si="2"/>
        <v>-20.833333333333332</v>
      </c>
      <c r="P22" s="2">
        <f t="shared" si="1"/>
        <v>-250.00000000000003</v>
      </c>
    </row>
    <row r="23" spans="1:18" x14ac:dyDescent="0.35">
      <c r="C23" t="s">
        <v>22</v>
      </c>
      <c r="D23" s="1">
        <v>-15</v>
      </c>
      <c r="E23" s="1">
        <v>-15</v>
      </c>
      <c r="F23" s="1">
        <v>-15</v>
      </c>
      <c r="G23" s="1">
        <v>-15</v>
      </c>
      <c r="H23" s="1">
        <v>-15</v>
      </c>
      <c r="I23" s="1">
        <v>-15</v>
      </c>
      <c r="J23" s="1">
        <v>-15</v>
      </c>
      <c r="K23" s="1">
        <v>-15</v>
      </c>
      <c r="L23" s="1">
        <v>-15</v>
      </c>
      <c r="M23" s="1">
        <v>-15</v>
      </c>
      <c r="N23" s="1">
        <v>-15</v>
      </c>
      <c r="O23" s="1">
        <v>-15</v>
      </c>
      <c r="P23" s="2">
        <f t="shared" si="1"/>
        <v>-180</v>
      </c>
    </row>
    <row r="24" spans="1:18" x14ac:dyDescent="0.35">
      <c r="C24" t="s">
        <v>23</v>
      </c>
      <c r="D24" s="1">
        <v>-15</v>
      </c>
      <c r="E24" s="1">
        <v>-15</v>
      </c>
      <c r="F24" s="1">
        <v>-15</v>
      </c>
      <c r="G24" s="1">
        <v>-15</v>
      </c>
      <c r="H24" s="1">
        <v>-15</v>
      </c>
      <c r="I24" s="1">
        <v>-15</v>
      </c>
      <c r="J24" s="1">
        <v>-15</v>
      </c>
      <c r="K24" s="1">
        <v>-15</v>
      </c>
      <c r="L24" s="1">
        <v>-15</v>
      </c>
      <c r="M24" s="1">
        <v>-15</v>
      </c>
      <c r="N24" s="1">
        <v>-15</v>
      </c>
      <c r="O24" s="1">
        <v>-15</v>
      </c>
      <c r="P24" s="2">
        <f t="shared" si="1"/>
        <v>-180</v>
      </c>
    </row>
    <row r="25" spans="1:18" x14ac:dyDescent="0.35">
      <c r="C25" t="s">
        <v>24</v>
      </c>
      <c r="D25" s="1">
        <f>-150/12</f>
        <v>-12.5</v>
      </c>
      <c r="E25" s="1">
        <f t="shared" ref="E25:O25" si="3">-150/12</f>
        <v>-12.5</v>
      </c>
      <c r="F25" s="1">
        <f t="shared" si="3"/>
        <v>-12.5</v>
      </c>
      <c r="G25" s="1">
        <f t="shared" si="3"/>
        <v>-12.5</v>
      </c>
      <c r="H25" s="1">
        <f t="shared" si="3"/>
        <v>-12.5</v>
      </c>
      <c r="I25" s="1">
        <f t="shared" si="3"/>
        <v>-12.5</v>
      </c>
      <c r="J25" s="1">
        <f t="shared" si="3"/>
        <v>-12.5</v>
      </c>
      <c r="K25" s="1">
        <f t="shared" si="3"/>
        <v>-12.5</v>
      </c>
      <c r="L25" s="1">
        <f t="shared" si="3"/>
        <v>-12.5</v>
      </c>
      <c r="M25" s="1">
        <f t="shared" si="3"/>
        <v>-12.5</v>
      </c>
      <c r="N25" s="1">
        <f t="shared" si="3"/>
        <v>-12.5</v>
      </c>
      <c r="O25" s="1">
        <f t="shared" si="3"/>
        <v>-12.5</v>
      </c>
      <c r="P25" s="2">
        <f t="shared" si="1"/>
        <v>-150</v>
      </c>
    </row>
    <row r="26" spans="1:18" x14ac:dyDescent="0.35">
      <c r="C26" t="s">
        <v>25</v>
      </c>
      <c r="D26" s="1">
        <f>-200/12</f>
        <v>-16.666666666666668</v>
      </c>
      <c r="E26" s="1">
        <f t="shared" ref="E26:O26" si="4">-200/12</f>
        <v>-16.666666666666668</v>
      </c>
      <c r="F26" s="1">
        <f t="shared" si="4"/>
        <v>-16.666666666666668</v>
      </c>
      <c r="G26" s="1">
        <f t="shared" si="4"/>
        <v>-16.666666666666668</v>
      </c>
      <c r="H26" s="1">
        <f t="shared" si="4"/>
        <v>-16.666666666666668</v>
      </c>
      <c r="I26" s="1">
        <f t="shared" si="4"/>
        <v>-16.666666666666668</v>
      </c>
      <c r="J26" s="1">
        <f t="shared" si="4"/>
        <v>-16.666666666666668</v>
      </c>
      <c r="K26" s="1">
        <f t="shared" si="4"/>
        <v>-16.666666666666668</v>
      </c>
      <c r="L26" s="1">
        <f t="shared" si="4"/>
        <v>-16.666666666666668</v>
      </c>
      <c r="M26" s="1">
        <f t="shared" si="4"/>
        <v>-16.666666666666668</v>
      </c>
      <c r="N26" s="1">
        <f t="shared" si="4"/>
        <v>-16.666666666666668</v>
      </c>
      <c r="O26" s="1">
        <f t="shared" si="4"/>
        <v>-16.666666666666668</v>
      </c>
      <c r="P26" s="2">
        <f t="shared" si="1"/>
        <v>-199.99999999999997</v>
      </c>
    </row>
    <row r="27" spans="1:18" x14ac:dyDescent="0.35">
      <c r="C27" t="s">
        <v>26</v>
      </c>
      <c r="D27" s="1">
        <f>-120/12</f>
        <v>-10</v>
      </c>
      <c r="E27" s="1">
        <f t="shared" ref="E27:O27" si="5">-120/12</f>
        <v>-10</v>
      </c>
      <c r="F27" s="1">
        <f t="shared" si="5"/>
        <v>-10</v>
      </c>
      <c r="G27" s="1">
        <f t="shared" si="5"/>
        <v>-10</v>
      </c>
      <c r="H27" s="1">
        <f t="shared" si="5"/>
        <v>-10</v>
      </c>
      <c r="I27" s="1">
        <f t="shared" si="5"/>
        <v>-10</v>
      </c>
      <c r="J27" s="1">
        <f t="shared" si="5"/>
        <v>-10</v>
      </c>
      <c r="K27" s="1">
        <f t="shared" si="5"/>
        <v>-10</v>
      </c>
      <c r="L27" s="1">
        <f t="shared" si="5"/>
        <v>-10</v>
      </c>
      <c r="M27" s="1">
        <f t="shared" si="5"/>
        <v>-10</v>
      </c>
      <c r="N27" s="1">
        <f t="shared" si="5"/>
        <v>-10</v>
      </c>
      <c r="O27" s="1">
        <f t="shared" si="5"/>
        <v>-10</v>
      </c>
      <c r="P27" s="2">
        <f t="shared" si="1"/>
        <v>-120</v>
      </c>
    </row>
    <row r="28" spans="1:18" x14ac:dyDescent="0.35">
      <c r="C28" t="s">
        <v>27</v>
      </c>
      <c r="D28" s="1">
        <v>-55</v>
      </c>
      <c r="E28" s="1">
        <v>-55</v>
      </c>
      <c r="F28" s="1">
        <v>-55</v>
      </c>
      <c r="G28" s="1">
        <v>-55</v>
      </c>
      <c r="H28" s="1">
        <v>-55</v>
      </c>
      <c r="I28" s="1">
        <v>-55</v>
      </c>
      <c r="J28" s="1">
        <v>-55</v>
      </c>
      <c r="K28" s="1">
        <v>-55</v>
      </c>
      <c r="L28" s="1">
        <v>-55</v>
      </c>
      <c r="M28" s="1">
        <v>-55</v>
      </c>
      <c r="N28" s="1">
        <v>-55</v>
      </c>
      <c r="O28" s="1">
        <v>-55</v>
      </c>
      <c r="P28" s="2">
        <f t="shared" si="1"/>
        <v>-660</v>
      </c>
    </row>
    <row r="29" spans="1:18" x14ac:dyDescent="0.35"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1" spans="1:18" x14ac:dyDescent="0.35">
      <c r="C31" t="s">
        <v>28</v>
      </c>
      <c r="D31" s="2">
        <f>SUM(D20:D29)</f>
        <v>347</v>
      </c>
      <c r="E31" s="2">
        <f t="shared" ref="E31:O31" si="6">SUM(E20:E29)</f>
        <v>347</v>
      </c>
      <c r="F31" s="2">
        <f t="shared" si="6"/>
        <v>347</v>
      </c>
      <c r="G31" s="2">
        <f t="shared" si="6"/>
        <v>347</v>
      </c>
      <c r="H31" s="2">
        <f t="shared" si="6"/>
        <v>347</v>
      </c>
      <c r="I31" s="2">
        <f t="shared" si="6"/>
        <v>347</v>
      </c>
      <c r="J31" s="2">
        <f t="shared" si="6"/>
        <v>347</v>
      </c>
      <c r="K31" s="2">
        <f t="shared" si="6"/>
        <v>347</v>
      </c>
      <c r="L31" s="2">
        <f t="shared" si="6"/>
        <v>347</v>
      </c>
      <c r="M31" s="2">
        <f t="shared" si="6"/>
        <v>347</v>
      </c>
      <c r="N31" s="2">
        <f t="shared" si="6"/>
        <v>347</v>
      </c>
      <c r="O31" s="2">
        <f t="shared" si="6"/>
        <v>347</v>
      </c>
      <c r="P31" s="2">
        <f>SUM(D31:O31)</f>
        <v>4164</v>
      </c>
    </row>
    <row r="33" spans="3:16" x14ac:dyDescent="0.35">
      <c r="C33" t="s">
        <v>29</v>
      </c>
      <c r="D33" s="1">
        <f>($B$8*5%)/12</f>
        <v>0</v>
      </c>
      <c r="E33" s="1">
        <f t="shared" ref="E33:O33" si="7">($B$8*5%)/12</f>
        <v>0</v>
      </c>
      <c r="F33" s="1">
        <f t="shared" si="7"/>
        <v>0</v>
      </c>
      <c r="G33" s="1">
        <f t="shared" si="7"/>
        <v>0</v>
      </c>
      <c r="H33" s="1">
        <f t="shared" si="7"/>
        <v>0</v>
      </c>
      <c r="I33" s="1">
        <f t="shared" si="7"/>
        <v>0</v>
      </c>
      <c r="J33" s="1">
        <f t="shared" si="7"/>
        <v>0</v>
      </c>
      <c r="K33" s="1">
        <f t="shared" si="7"/>
        <v>0</v>
      </c>
      <c r="L33" s="1">
        <f t="shared" si="7"/>
        <v>0</v>
      </c>
      <c r="M33" s="1">
        <f t="shared" si="7"/>
        <v>0</v>
      </c>
      <c r="N33" s="1">
        <f t="shared" si="7"/>
        <v>0</v>
      </c>
      <c r="O33" s="1">
        <f t="shared" si="7"/>
        <v>0</v>
      </c>
      <c r="P33" s="2">
        <f>SUM(D33:O33)</f>
        <v>0</v>
      </c>
    </row>
    <row r="35" spans="3:16" x14ac:dyDescent="0.35">
      <c r="C35" t="s">
        <v>31</v>
      </c>
      <c r="D35" s="2">
        <f>+D31+D33</f>
        <v>347</v>
      </c>
      <c r="E35" s="2">
        <f t="shared" ref="E35:O35" si="8">+E31+E33</f>
        <v>347</v>
      </c>
      <c r="F35" s="2">
        <f t="shared" si="8"/>
        <v>347</v>
      </c>
      <c r="G35" s="2">
        <f t="shared" si="8"/>
        <v>347</v>
      </c>
      <c r="H35" s="2">
        <f t="shared" si="8"/>
        <v>347</v>
      </c>
      <c r="I35" s="2">
        <f t="shared" si="8"/>
        <v>347</v>
      </c>
      <c r="J35" s="2">
        <f t="shared" si="8"/>
        <v>347</v>
      </c>
      <c r="K35" s="2">
        <f t="shared" si="8"/>
        <v>347</v>
      </c>
      <c r="L35" s="2">
        <f t="shared" si="8"/>
        <v>347</v>
      </c>
      <c r="M35" s="2">
        <f t="shared" si="8"/>
        <v>347</v>
      </c>
      <c r="N35" s="2">
        <f t="shared" si="8"/>
        <v>347</v>
      </c>
      <c r="O35" s="2">
        <f t="shared" si="8"/>
        <v>347</v>
      </c>
      <c r="P35" s="2">
        <f>SUM(D35:O35)</f>
        <v>4164</v>
      </c>
    </row>
    <row r="37" spans="3:16" x14ac:dyDescent="0.35">
      <c r="C37" t="s">
        <v>32</v>
      </c>
      <c r="D37" s="1">
        <f>-D35*$B$10</f>
        <v>-86.75</v>
      </c>
      <c r="E37" s="1">
        <f t="shared" ref="E37:O37" si="9">-E35*$B$10</f>
        <v>-86.75</v>
      </c>
      <c r="F37" s="1">
        <f t="shared" si="9"/>
        <v>-86.75</v>
      </c>
      <c r="G37" s="1">
        <f t="shared" si="9"/>
        <v>-86.75</v>
      </c>
      <c r="H37" s="1">
        <f t="shared" si="9"/>
        <v>-86.75</v>
      </c>
      <c r="I37" s="1">
        <f t="shared" si="9"/>
        <v>-86.75</v>
      </c>
      <c r="J37" s="1">
        <f t="shared" si="9"/>
        <v>-86.75</v>
      </c>
      <c r="K37" s="1">
        <f t="shared" si="9"/>
        <v>-86.75</v>
      </c>
      <c r="L37" s="1">
        <f t="shared" si="9"/>
        <v>-86.75</v>
      </c>
      <c r="M37" s="1">
        <f t="shared" si="9"/>
        <v>-86.75</v>
      </c>
      <c r="N37" s="1">
        <f t="shared" si="9"/>
        <v>-86.75</v>
      </c>
      <c r="O37" s="1">
        <f t="shared" si="9"/>
        <v>-86.75</v>
      </c>
      <c r="P37" s="2">
        <f t="shared" ref="P37:P38" si="10">SUM(D37:O37)</f>
        <v>-1041</v>
      </c>
    </row>
    <row r="38" spans="3:16" x14ac:dyDescent="0.35">
      <c r="C38" t="s">
        <v>33</v>
      </c>
      <c r="D38" s="1">
        <v>-41.666666666666664</v>
      </c>
      <c r="E38" s="1">
        <v>-41.666666666666664</v>
      </c>
      <c r="F38" s="1">
        <v>-41.666666666666664</v>
      </c>
      <c r="G38" s="1">
        <v>-41.666666666666664</v>
      </c>
      <c r="H38" s="1">
        <v>-41.666666666666664</v>
      </c>
      <c r="I38" s="1">
        <v>-41.666666666666664</v>
      </c>
      <c r="J38" s="1">
        <v>-41.666666666666664</v>
      </c>
      <c r="K38" s="1">
        <v>-41.666666666666664</v>
      </c>
      <c r="L38" s="1">
        <v>-41.666666666666664</v>
      </c>
      <c r="M38" s="1">
        <v>-41.666666666666664</v>
      </c>
      <c r="N38" s="1">
        <v>-41.666666666666664</v>
      </c>
      <c r="O38" s="1">
        <v>-41.666666666666664</v>
      </c>
      <c r="P38" s="2">
        <f t="shared" si="10"/>
        <v>-500.00000000000006</v>
      </c>
    </row>
    <row r="40" spans="3:16" x14ac:dyDescent="0.35">
      <c r="C40" t="s">
        <v>34</v>
      </c>
      <c r="D40" s="2">
        <f>+D35+D37+D38</f>
        <v>218.58333333333334</v>
      </c>
      <c r="E40" s="2">
        <f t="shared" ref="E40:O40" si="11">+E35+E37+E38</f>
        <v>218.58333333333334</v>
      </c>
      <c r="F40" s="2">
        <f t="shared" si="11"/>
        <v>218.58333333333334</v>
      </c>
      <c r="G40" s="2">
        <f t="shared" si="11"/>
        <v>218.58333333333334</v>
      </c>
      <c r="H40" s="2">
        <f t="shared" si="11"/>
        <v>218.58333333333334</v>
      </c>
      <c r="I40" s="2">
        <f t="shared" si="11"/>
        <v>218.58333333333334</v>
      </c>
      <c r="J40" s="2">
        <f t="shared" si="11"/>
        <v>218.58333333333334</v>
      </c>
      <c r="K40" s="2">
        <f t="shared" si="11"/>
        <v>218.58333333333334</v>
      </c>
      <c r="L40" s="2">
        <f t="shared" si="11"/>
        <v>218.58333333333334</v>
      </c>
      <c r="M40" s="2">
        <f t="shared" si="11"/>
        <v>218.58333333333334</v>
      </c>
      <c r="N40" s="2">
        <f t="shared" si="11"/>
        <v>218.58333333333334</v>
      </c>
      <c r="O40" s="2">
        <f t="shared" si="11"/>
        <v>218.58333333333334</v>
      </c>
      <c r="P40" s="2">
        <f>SUM(D40:O40)</f>
        <v>2623</v>
      </c>
    </row>
    <row r="43" spans="3:16" x14ac:dyDescent="0.35"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</row>
    <row r="45" spans="3:16" x14ac:dyDescent="0.35">
      <c r="D45" s="2">
        <f>+D35+D38+D43</f>
        <v>305.33333333333331</v>
      </c>
      <c r="E45" s="2">
        <f t="shared" ref="E45:O45" si="12">+E35+E38+E43</f>
        <v>305.33333333333331</v>
      </c>
      <c r="F45" s="2">
        <f t="shared" si="12"/>
        <v>305.33333333333331</v>
      </c>
      <c r="G45" s="2">
        <f t="shared" si="12"/>
        <v>305.33333333333331</v>
      </c>
      <c r="H45" s="2">
        <f t="shared" si="12"/>
        <v>305.33333333333331</v>
      </c>
      <c r="I45" s="2">
        <f t="shared" si="12"/>
        <v>305.33333333333331</v>
      </c>
      <c r="J45" s="2">
        <f t="shared" si="12"/>
        <v>305.33333333333331</v>
      </c>
      <c r="K45" s="2">
        <f t="shared" si="12"/>
        <v>305.33333333333331</v>
      </c>
      <c r="L45" s="2">
        <f t="shared" si="12"/>
        <v>305.33333333333331</v>
      </c>
      <c r="M45" s="2">
        <f t="shared" si="12"/>
        <v>305.33333333333331</v>
      </c>
      <c r="N45" s="2">
        <f t="shared" si="12"/>
        <v>305.33333333333331</v>
      </c>
      <c r="O45" s="2">
        <f t="shared" si="12"/>
        <v>305.33333333333331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B025-431A-4FAC-A033-192FF36A2E96}">
  <sheetPr codeName="Sheet2"/>
  <dimension ref="A1:J57"/>
  <sheetViews>
    <sheetView topLeftCell="A21" workbookViewId="0"/>
  </sheetViews>
  <sheetFormatPr defaultRowHeight="14.5" x14ac:dyDescent="0.35"/>
  <cols>
    <col min="1" max="1" width="19.08984375" bestFit="1" customWidth="1"/>
    <col min="2" max="2" width="11.1796875" bestFit="1" customWidth="1"/>
    <col min="3" max="3" width="22.453125" bestFit="1" customWidth="1"/>
    <col min="4" max="4" width="13.453125" customWidth="1"/>
    <col min="5" max="5" width="20.08984375" bestFit="1" customWidth="1"/>
    <col min="6" max="7" width="9.1796875" bestFit="1" customWidth="1"/>
    <col min="8" max="8" width="20.08984375" bestFit="1" customWidth="1"/>
    <col min="9" max="9" width="10.1796875" bestFit="1" customWidth="1"/>
    <col min="10" max="10" width="9.1796875" bestFit="1" customWidth="1"/>
  </cols>
  <sheetData>
    <row r="1" spans="1:5" x14ac:dyDescent="0.35">
      <c r="A1" t="s">
        <v>0</v>
      </c>
      <c r="B1" s="2">
        <f>+Dashboard!E11</f>
        <v>39000</v>
      </c>
    </row>
    <row r="2" spans="1:5" x14ac:dyDescent="0.35">
      <c r="A2" t="s">
        <v>1</v>
      </c>
      <c r="B2" s="2">
        <f>+Dashboard!E12</f>
        <v>0</v>
      </c>
    </row>
    <row r="3" spans="1:5" x14ac:dyDescent="0.35">
      <c r="A3" t="s">
        <v>2</v>
      </c>
      <c r="B3" s="2">
        <f>+Dashboard!E13</f>
        <v>7000</v>
      </c>
    </row>
    <row r="4" spans="1:5" x14ac:dyDescent="0.35">
      <c r="A4" t="s">
        <v>3</v>
      </c>
      <c r="B4" s="2">
        <f>+Dashboard!E14</f>
        <v>28000</v>
      </c>
    </row>
    <row r="5" spans="1:5" x14ac:dyDescent="0.35">
      <c r="A5" t="s">
        <v>4</v>
      </c>
      <c r="B5" s="2">
        <f>+Dashboard!E15</f>
        <v>2000</v>
      </c>
    </row>
    <row r="6" spans="1:5" x14ac:dyDescent="0.35">
      <c r="A6" t="s">
        <v>5</v>
      </c>
      <c r="B6" s="2">
        <f>+Dashboard!E16</f>
        <v>2000</v>
      </c>
    </row>
    <row r="7" spans="1:5" x14ac:dyDescent="0.35">
      <c r="A7" t="s">
        <v>65</v>
      </c>
      <c r="B7" s="2">
        <f>+Dashboard!E17</f>
        <v>78000</v>
      </c>
      <c r="C7" s="3">
        <f>+B7/SUM(B7+B8)</f>
        <v>0.61904761904761907</v>
      </c>
    </row>
    <row r="8" spans="1:5" x14ac:dyDescent="0.35">
      <c r="A8" t="s">
        <v>30</v>
      </c>
      <c r="B8" s="2">
        <f>+Dashboard!E18</f>
        <v>48000</v>
      </c>
      <c r="C8" s="3">
        <f>+B8/SUM(B7+B8)</f>
        <v>0.38095238095238093</v>
      </c>
    </row>
    <row r="9" spans="1:5" x14ac:dyDescent="0.35">
      <c r="A9" t="s">
        <v>35</v>
      </c>
      <c r="B9" s="3">
        <f>+Dashboard!E19</f>
        <v>9.2307692307692313E-2</v>
      </c>
    </row>
    <row r="10" spans="1:5" x14ac:dyDescent="0.35">
      <c r="A10" t="s">
        <v>38</v>
      </c>
      <c r="B10" s="3">
        <f>+Dashboard!E20</f>
        <v>0.25</v>
      </c>
    </row>
    <row r="11" spans="1:5" x14ac:dyDescent="0.35">
      <c r="A11" t="s">
        <v>47</v>
      </c>
      <c r="B11" s="3">
        <f>+Dashboard!E21</f>
        <v>0.02</v>
      </c>
    </row>
    <row r="12" spans="1:5" x14ac:dyDescent="0.35">
      <c r="A12" t="s">
        <v>58</v>
      </c>
      <c r="B12" s="24">
        <f>+Dashboard!E22</f>
        <v>1</v>
      </c>
    </row>
    <row r="13" spans="1:5" x14ac:dyDescent="0.35">
      <c r="A13" t="s">
        <v>59</v>
      </c>
      <c r="B13" s="3">
        <f>+Dashboard!E23</f>
        <v>0.05</v>
      </c>
      <c r="C13">
        <f>+B13+B12*(B14-B13)</f>
        <v>0.06</v>
      </c>
      <c r="E13" s="12">
        <f>+C7*C13+C8*B15*(1-B13)</f>
        <v>5.5238095238095239E-2</v>
      </c>
    </row>
    <row r="14" spans="1:5" x14ac:dyDescent="0.35">
      <c r="A14" t="s">
        <v>60</v>
      </c>
      <c r="B14" s="3">
        <f>+Dashboard!E24</f>
        <v>0.06</v>
      </c>
    </row>
    <row r="15" spans="1:5" x14ac:dyDescent="0.35">
      <c r="A15" t="s">
        <v>61</v>
      </c>
      <c r="B15" s="3">
        <f>+Dashboard!E25</f>
        <v>0.05</v>
      </c>
      <c r="C15" t="s">
        <v>62</v>
      </c>
    </row>
    <row r="16" spans="1:5" x14ac:dyDescent="0.35">
      <c r="B16" s="6"/>
    </row>
    <row r="17" spans="1:10" ht="26" x14ac:dyDescent="0.6">
      <c r="A17" s="8" t="s">
        <v>40</v>
      </c>
      <c r="B17" s="9"/>
      <c r="C17" s="8"/>
      <c r="D17" s="8"/>
      <c r="E17" s="8"/>
      <c r="F17" s="8"/>
      <c r="G17" s="8"/>
      <c r="H17" s="8"/>
    </row>
    <row r="18" spans="1:10" x14ac:dyDescent="0.35">
      <c r="A18" s="10"/>
      <c r="B18" s="10"/>
      <c r="C18" s="11"/>
      <c r="D18" s="11">
        <v>1</v>
      </c>
      <c r="E18" s="11">
        <v>2</v>
      </c>
      <c r="F18" s="11">
        <v>3</v>
      </c>
      <c r="G18" s="11">
        <v>4</v>
      </c>
      <c r="H18" s="11">
        <v>5</v>
      </c>
    </row>
    <row r="19" spans="1:10" x14ac:dyDescent="0.35">
      <c r="A19" s="10"/>
      <c r="B19" s="10"/>
      <c r="C19" s="11" t="s">
        <v>20</v>
      </c>
      <c r="D19" s="11" t="s">
        <v>42</v>
      </c>
      <c r="E19" s="11" t="s">
        <v>43</v>
      </c>
      <c r="F19" s="11" t="s">
        <v>44</v>
      </c>
      <c r="G19" s="11" t="s">
        <v>45</v>
      </c>
      <c r="H19" s="11" t="s">
        <v>46</v>
      </c>
    </row>
    <row r="20" spans="1:10" x14ac:dyDescent="0.35">
      <c r="C20" t="s">
        <v>19</v>
      </c>
      <c r="D20" s="1">
        <f>+Dashboard!J36</f>
        <v>7200</v>
      </c>
      <c r="E20" s="1">
        <f>+Dashboard!K36</f>
        <v>7344</v>
      </c>
      <c r="F20" s="1">
        <f>+Dashboard!L36</f>
        <v>7490.88</v>
      </c>
      <c r="G20" s="1">
        <f>+Dashboard!M36</f>
        <v>7640.6976000000004</v>
      </c>
      <c r="H20" s="1">
        <f>+Dashboard!N36</f>
        <v>7793.5115520000008</v>
      </c>
    </row>
    <row r="21" spans="1:10" x14ac:dyDescent="0.35">
      <c r="C21" t="s">
        <v>41</v>
      </c>
      <c r="D21" s="1">
        <f>(-D20*0.15)+(-D20*0.15)*0.2</f>
        <v>-1296</v>
      </c>
      <c r="E21" s="1">
        <f>(-E20*0.15)+(-E20*0.15)*0.2</f>
        <v>-1321.9199999999998</v>
      </c>
      <c r="F21" s="1">
        <f>(-F20*0.15)+(-F20*0.15)*0.2</f>
        <v>-1348.3584000000001</v>
      </c>
      <c r="G21" s="1">
        <f>(-G20*0.15)+(-G20*0.15)*0.2</f>
        <v>-1375.325568</v>
      </c>
      <c r="H21" s="1">
        <f>(-H20*0.15)+(-H20*0.15)*0.2</f>
        <v>-1402.8320793600001</v>
      </c>
      <c r="I21" s="2"/>
      <c r="J21" s="2"/>
    </row>
    <row r="22" spans="1:10" x14ac:dyDescent="0.35">
      <c r="C22" t="s">
        <v>21</v>
      </c>
      <c r="D22" s="1">
        <f>+'DL17 0PZ'!P22</f>
        <v>-250.00000000000003</v>
      </c>
      <c r="E22" s="1">
        <f t="shared" ref="E22:H27" si="0">+D22</f>
        <v>-250.00000000000003</v>
      </c>
      <c r="F22" s="1">
        <f t="shared" si="0"/>
        <v>-250.00000000000003</v>
      </c>
      <c r="G22" s="1">
        <f t="shared" si="0"/>
        <v>-250.00000000000003</v>
      </c>
      <c r="H22" s="1">
        <f t="shared" si="0"/>
        <v>-250.00000000000003</v>
      </c>
    </row>
    <row r="23" spans="1:10" x14ac:dyDescent="0.35">
      <c r="C23" t="s">
        <v>22</v>
      </c>
      <c r="D23" s="1">
        <f>+'DL17 0PZ'!P23</f>
        <v>-180</v>
      </c>
      <c r="E23" s="1">
        <f t="shared" si="0"/>
        <v>-180</v>
      </c>
      <c r="F23" s="1">
        <f t="shared" si="0"/>
        <v>-180</v>
      </c>
      <c r="G23" s="1">
        <f t="shared" si="0"/>
        <v>-180</v>
      </c>
      <c r="H23" s="1">
        <f t="shared" si="0"/>
        <v>-180</v>
      </c>
    </row>
    <row r="24" spans="1:10" x14ac:dyDescent="0.35">
      <c r="C24" t="s">
        <v>23</v>
      </c>
      <c r="D24" s="1">
        <f>+'DL17 0PZ'!P24</f>
        <v>-180</v>
      </c>
      <c r="E24" s="1">
        <f t="shared" si="0"/>
        <v>-180</v>
      </c>
      <c r="F24" s="1">
        <f t="shared" si="0"/>
        <v>-180</v>
      </c>
      <c r="G24" s="1">
        <f t="shared" si="0"/>
        <v>-180</v>
      </c>
      <c r="H24" s="1">
        <f t="shared" si="0"/>
        <v>-180</v>
      </c>
    </row>
    <row r="25" spans="1:10" x14ac:dyDescent="0.35">
      <c r="C25" t="s">
        <v>24</v>
      </c>
      <c r="D25" s="1">
        <f>+'DL17 0PZ'!P25</f>
        <v>-150</v>
      </c>
      <c r="E25" s="1">
        <f t="shared" si="0"/>
        <v>-150</v>
      </c>
      <c r="F25" s="1">
        <f t="shared" si="0"/>
        <v>-150</v>
      </c>
      <c r="G25" s="1">
        <f t="shared" si="0"/>
        <v>-150</v>
      </c>
      <c r="H25" s="1">
        <f t="shared" si="0"/>
        <v>-150</v>
      </c>
    </row>
    <row r="26" spans="1:10" x14ac:dyDescent="0.35">
      <c r="C26" t="s">
        <v>25</v>
      </c>
      <c r="D26" s="1">
        <f>+'DL17 0PZ'!P26</f>
        <v>-199.99999999999997</v>
      </c>
      <c r="E26" s="1">
        <f t="shared" si="0"/>
        <v>-199.99999999999997</v>
      </c>
      <c r="F26" s="1">
        <f t="shared" si="0"/>
        <v>-199.99999999999997</v>
      </c>
      <c r="G26" s="1">
        <f t="shared" si="0"/>
        <v>-199.99999999999997</v>
      </c>
      <c r="H26" s="1">
        <f t="shared" si="0"/>
        <v>-199.99999999999997</v>
      </c>
    </row>
    <row r="27" spans="1:10" x14ac:dyDescent="0.35">
      <c r="C27" t="s">
        <v>26</v>
      </c>
      <c r="D27" s="1">
        <f>+'DL17 0PZ'!P27</f>
        <v>-120</v>
      </c>
      <c r="E27" s="1">
        <f t="shared" si="0"/>
        <v>-120</v>
      </c>
      <c r="F27" s="1">
        <f t="shared" si="0"/>
        <v>-120</v>
      </c>
      <c r="G27" s="1">
        <f t="shared" si="0"/>
        <v>-120</v>
      </c>
      <c r="H27" s="1">
        <f t="shared" si="0"/>
        <v>-120</v>
      </c>
    </row>
    <row r="28" spans="1:10" x14ac:dyDescent="0.35">
      <c r="C28" t="s">
        <v>51</v>
      </c>
      <c r="D28" s="1">
        <f>-D20*0.15</f>
        <v>-1080</v>
      </c>
      <c r="E28" s="1">
        <f t="shared" ref="E28:H28" si="1">-E20*0.15</f>
        <v>-1101.5999999999999</v>
      </c>
      <c r="F28" s="1">
        <f t="shared" si="1"/>
        <v>-1123.6320000000001</v>
      </c>
      <c r="G28" s="1">
        <f t="shared" si="1"/>
        <v>-1146.10464</v>
      </c>
      <c r="H28" s="1">
        <f t="shared" si="1"/>
        <v>-1169.0267328</v>
      </c>
    </row>
    <row r="29" spans="1:10" x14ac:dyDescent="0.35">
      <c r="D29" s="1"/>
      <c r="E29" s="1"/>
      <c r="F29" s="1"/>
      <c r="G29" s="1"/>
      <c r="H29" s="1"/>
    </row>
    <row r="31" spans="1:10" x14ac:dyDescent="0.35">
      <c r="C31" t="s">
        <v>28</v>
      </c>
      <c r="D31" s="2">
        <f>SUM(D20:D29)</f>
        <v>3744</v>
      </c>
      <c r="E31" s="2">
        <f t="shared" ref="E31:H31" si="2">SUM(E20:E29)</f>
        <v>3840.48</v>
      </c>
      <c r="F31" s="2">
        <f t="shared" si="2"/>
        <v>3938.8896</v>
      </c>
      <c r="G31" s="2">
        <f t="shared" si="2"/>
        <v>4039.2673920000002</v>
      </c>
      <c r="H31" s="2">
        <f t="shared" si="2"/>
        <v>4141.6527398400003</v>
      </c>
    </row>
    <row r="33" spans="3:8" x14ac:dyDescent="0.35">
      <c r="C33" t="s">
        <v>29</v>
      </c>
      <c r="D33" s="1">
        <f>-(Dashboard!$E$18*Dashboard!$E$25)*0</f>
        <v>0</v>
      </c>
      <c r="E33" s="1">
        <f>-(Dashboard!$E$18*Dashboard!$E$25)*0</f>
        <v>0</v>
      </c>
      <c r="F33" s="1">
        <f>-(Dashboard!$E$18*Dashboard!$E$25)*0</f>
        <v>0</v>
      </c>
      <c r="G33" s="1">
        <f>-(Dashboard!$E$18*Dashboard!$E$25)*0</f>
        <v>0</v>
      </c>
      <c r="H33" s="1">
        <f>-(Dashboard!$E$18*Dashboard!$E$25)*0</f>
        <v>0</v>
      </c>
    </row>
    <row r="35" spans="3:8" x14ac:dyDescent="0.35">
      <c r="C35" t="s">
        <v>31</v>
      </c>
      <c r="D35" s="2">
        <f>+D31+D33</f>
        <v>3744</v>
      </c>
      <c r="E35" s="2">
        <f>+E31+E33</f>
        <v>3840.48</v>
      </c>
      <c r="F35" s="2">
        <f>+F31+F33</f>
        <v>3938.8896</v>
      </c>
      <c r="G35" s="2">
        <f>+G31+G33</f>
        <v>4039.2673920000002</v>
      </c>
      <c r="H35" s="2">
        <f>+H31+H33</f>
        <v>4141.6527398400003</v>
      </c>
    </row>
    <row r="37" spans="3:8" x14ac:dyDescent="0.35">
      <c r="C37" t="s">
        <v>32</v>
      </c>
      <c r="D37" s="1">
        <f>-D35*$B$10</f>
        <v>-936</v>
      </c>
      <c r="E37" s="1">
        <f t="shared" ref="E37:H37" si="3">-E35*$B$10</f>
        <v>-960.12</v>
      </c>
      <c r="F37" s="1">
        <f t="shared" si="3"/>
        <v>-984.72239999999999</v>
      </c>
      <c r="G37" s="1">
        <f t="shared" si="3"/>
        <v>-1009.816848</v>
      </c>
      <c r="H37" s="1">
        <f t="shared" si="3"/>
        <v>-1035.4131849600001</v>
      </c>
    </row>
    <row r="38" spans="3:8" x14ac:dyDescent="0.35">
      <c r="C38" t="s">
        <v>48</v>
      </c>
      <c r="D38" s="1">
        <v>-250</v>
      </c>
      <c r="E38" s="1">
        <f>D38*(1+1%)</f>
        <v>-252.5</v>
      </c>
      <c r="F38" s="1">
        <f>E38*(1+1%)</f>
        <v>-255.02500000000001</v>
      </c>
      <c r="G38" s="1">
        <f>F38*(1+1%)</f>
        <v>-257.57524999999998</v>
      </c>
      <c r="H38" s="1">
        <f>G38*(1+1%)</f>
        <v>-260.1510025</v>
      </c>
    </row>
    <row r="40" spans="3:8" x14ac:dyDescent="0.35">
      <c r="C40" t="s">
        <v>50</v>
      </c>
      <c r="D40" s="2">
        <f>+D35+D37+D38</f>
        <v>2558</v>
      </c>
      <c r="E40" s="2">
        <f t="shared" ref="E40:H40" si="4">+E35+E37+E38</f>
        <v>2627.86</v>
      </c>
      <c r="F40" s="2">
        <f t="shared" si="4"/>
        <v>2699.1421999999998</v>
      </c>
      <c r="G40" s="2">
        <f t="shared" si="4"/>
        <v>2771.8752940000004</v>
      </c>
      <c r="H40" s="2">
        <f t="shared" si="4"/>
        <v>2846.0885523800007</v>
      </c>
    </row>
    <row r="41" spans="3:8" x14ac:dyDescent="0.35">
      <c r="C41" t="s">
        <v>49</v>
      </c>
    </row>
    <row r="43" spans="3:8" x14ac:dyDescent="0.35">
      <c r="C43" t="s">
        <v>66</v>
      </c>
      <c r="D43" s="1"/>
      <c r="E43" s="1"/>
      <c r="F43" s="1"/>
      <c r="G43" s="1"/>
      <c r="H43" s="2">
        <f>SUM(H40*(1+B11))/SUM(Dashboard!D7-'DL17 0PZ Matrix'!B11)</f>
        <v>82382.725394567053</v>
      </c>
    </row>
    <row r="45" spans="3:8" x14ac:dyDescent="0.35">
      <c r="C45" t="s">
        <v>93</v>
      </c>
      <c r="D45" s="1">
        <f>1/(1+Dashboard!$D$7)^'DL17 0PZ Matrix'!D$18</f>
        <v>0.94765342960288801</v>
      </c>
      <c r="E45" s="1">
        <f>1/(1+Dashboard!$D$7)^'DL17 0PZ Matrix'!E$18</f>
        <v>0.89804702263811587</v>
      </c>
      <c r="F45" s="1">
        <f>1/(1+Dashboard!$D$7)^'DL17 0PZ Matrix'!F$18</f>
        <v>0.85103734094767292</v>
      </c>
      <c r="G45" s="1">
        <f>1/(1+Dashboard!$D$7)^'DL17 0PZ Matrix'!G$18</f>
        <v>0.80648845486918463</v>
      </c>
      <c r="H45" s="1">
        <f>1/(1+Dashboard!$D$7)^'DL17 0PZ Matrix'!H$18</f>
        <v>0.76427155019191673</v>
      </c>
    </row>
    <row r="46" spans="3:8" x14ac:dyDescent="0.35">
      <c r="C46" t="s">
        <v>94</v>
      </c>
      <c r="D46" s="1">
        <f>+D40*D45</f>
        <v>2424.0974729241875</v>
      </c>
      <c r="E46" s="1">
        <f t="shared" ref="E46:H46" si="5">+E40*E45</f>
        <v>2359.9418489097993</v>
      </c>
      <c r="F46" s="1">
        <f t="shared" si="5"/>
        <v>2297.0708007276517</v>
      </c>
      <c r="G46" s="1">
        <f t="shared" si="5"/>
        <v>2235.4854229481271</v>
      </c>
      <c r="H46" s="1">
        <f t="shared" si="5"/>
        <v>2175.1845099109314</v>
      </c>
    </row>
    <row r="47" spans="3:8" x14ac:dyDescent="0.35">
      <c r="D47" s="1"/>
      <c r="E47" s="1"/>
      <c r="F47" s="1"/>
      <c r="G47" s="1"/>
      <c r="H47" s="1">
        <f>+H43*H45</f>
        <v>62962.773246340745</v>
      </c>
    </row>
    <row r="49" spans="3:9" x14ac:dyDescent="0.35">
      <c r="C49" t="s">
        <v>105</v>
      </c>
      <c r="D49" s="61" t="s">
        <v>104</v>
      </c>
      <c r="H49" s="1">
        <f>-Dashboard!E17</f>
        <v>-78000</v>
      </c>
    </row>
    <row r="50" spans="3:9" x14ac:dyDescent="0.35">
      <c r="D50" s="61" t="s">
        <v>42</v>
      </c>
      <c r="H50" s="1" cm="1">
        <f t="array" ref="H50">INDEX(Dashboard!$J$36:$N$36,ROW(A1))</f>
        <v>7200</v>
      </c>
    </row>
    <row r="51" spans="3:9" x14ac:dyDescent="0.35">
      <c r="D51" s="61" t="s">
        <v>43</v>
      </c>
      <c r="H51" s="1" cm="1">
        <f t="array" ref="H51">INDEX(Dashboard!$J$36:$N$36,ROW(A2))</f>
        <v>7344</v>
      </c>
    </row>
    <row r="52" spans="3:9" x14ac:dyDescent="0.35">
      <c r="D52" s="61" t="s">
        <v>44</v>
      </c>
      <c r="H52" s="1" cm="1">
        <f t="array" ref="H52">INDEX(Dashboard!$J$36:$N$36,ROW(A3))</f>
        <v>7490.88</v>
      </c>
    </row>
    <row r="53" spans="3:9" x14ac:dyDescent="0.35">
      <c r="D53" s="61" t="s">
        <v>45</v>
      </c>
      <c r="H53" s="1" cm="1">
        <f t="array" ref="H53">INDEX(Dashboard!$J$36:$N$36,ROW(A4))</f>
        <v>7640.6976000000004</v>
      </c>
    </row>
    <row r="54" spans="3:9" x14ac:dyDescent="0.35">
      <c r="D54" s="61" t="s">
        <v>46</v>
      </c>
      <c r="H54" s="1" cm="1">
        <f t="array" ref="H54">INDEX(Dashboard!$J$36:$N$36,ROW(A5))+SUM(Dashboard!M33*(1+Dashboard!E21))</f>
        <v>73073.511551999996</v>
      </c>
    </row>
    <row r="56" spans="3:9" x14ac:dyDescent="0.35">
      <c r="C56" t="s">
        <v>106</v>
      </c>
      <c r="D56" s="63" t="s">
        <v>107</v>
      </c>
      <c r="H56" s="2">
        <f>-H49</f>
        <v>78000</v>
      </c>
      <c r="I56" s="2"/>
    </row>
    <row r="57" spans="3:9" x14ac:dyDescent="0.35">
      <c r="D57" s="63" t="s">
        <v>108</v>
      </c>
      <c r="H57" s="2">
        <f>+SUM($D$20:$H$20)+SUM(Dashboard!$M$33*(1+Dashboard!$E$21))</f>
        <v>102749.089152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8D435-E768-4F04-8351-6E59825D1FCE}">
  <sheetPr codeName="Sheet3">
    <pageSetUpPr autoPageBreaks="0"/>
  </sheetPr>
  <dimension ref="A1:AB37"/>
  <sheetViews>
    <sheetView showGridLines="0" tabSelected="1" zoomScale="77" zoomScaleNormal="77" zoomScaleSheetLayoutView="78" workbookViewId="0">
      <pane ySplit="2" topLeftCell="A3" activePane="bottomLeft" state="frozen"/>
      <selection pane="bottomLeft"/>
    </sheetView>
  </sheetViews>
  <sheetFormatPr defaultRowHeight="14.5" x14ac:dyDescent="0.35"/>
  <cols>
    <col min="4" max="4" width="21.453125" customWidth="1"/>
    <col min="10" max="12" width="9.1796875" bestFit="1" customWidth="1"/>
    <col min="13" max="13" width="22.54296875" customWidth="1"/>
    <col min="14" max="14" width="9.1796875" bestFit="1" customWidth="1"/>
    <col min="15" max="15" width="22.26953125" customWidth="1"/>
    <col min="24" max="24" width="22.1796875" customWidth="1"/>
  </cols>
  <sheetData>
    <row r="1" spans="1:28" ht="47.5" x14ac:dyDescent="1.1000000000000001">
      <c r="A1" s="47" t="s">
        <v>63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</row>
    <row r="2" spans="1:28" ht="63" thickBot="1" x14ac:dyDescent="0.4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48" t="s">
        <v>64</v>
      </c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</row>
    <row r="3" spans="1:28" x14ac:dyDescent="0.35">
      <c r="A3" s="25"/>
      <c r="B3" s="50"/>
      <c r="C3" s="53" t="s">
        <v>95</v>
      </c>
      <c r="D3" s="53"/>
      <c r="E3" s="53"/>
      <c r="F3" s="53"/>
      <c r="G3" s="25"/>
      <c r="H3" s="25"/>
      <c r="I3" s="25"/>
      <c r="J3" s="25"/>
      <c r="K3" s="25"/>
      <c r="L3" s="25"/>
      <c r="M3" s="25"/>
      <c r="N3" s="25"/>
      <c r="O3" s="41" t="s">
        <v>72</v>
      </c>
      <c r="P3" s="42"/>
      <c r="Q3" s="42"/>
      <c r="R3" s="42"/>
      <c r="S3" s="42"/>
      <c r="T3" s="42"/>
      <c r="U3" s="42"/>
      <c r="V3" s="42"/>
      <c r="W3" s="42"/>
      <c r="X3" s="43"/>
      <c r="Y3" s="25"/>
      <c r="Z3" s="25"/>
      <c r="AA3" s="25"/>
      <c r="AB3" s="25"/>
    </row>
    <row r="4" spans="1:28" x14ac:dyDescent="0.3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44" t="s">
        <v>73</v>
      </c>
      <c r="P4" s="59"/>
      <c r="Q4" s="59"/>
      <c r="R4" s="59"/>
      <c r="S4" s="59"/>
      <c r="T4" s="59"/>
      <c r="U4" s="59"/>
      <c r="V4" s="59"/>
      <c r="W4" s="59"/>
      <c r="X4" s="34"/>
      <c r="Y4" s="25"/>
      <c r="Z4" s="25"/>
      <c r="AA4" s="25"/>
      <c r="AB4" s="25"/>
    </row>
    <row r="5" spans="1:28" x14ac:dyDescent="0.3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40" t="s">
        <v>88</v>
      </c>
      <c r="P5" s="60"/>
      <c r="Q5" s="60"/>
      <c r="R5" s="60"/>
      <c r="S5" s="60"/>
      <c r="T5" s="60"/>
      <c r="U5" s="60"/>
      <c r="V5" s="60"/>
      <c r="W5" s="60"/>
      <c r="X5" s="36"/>
      <c r="Y5" s="28"/>
      <c r="Z5" s="28"/>
      <c r="AA5" s="28"/>
      <c r="AB5" s="28"/>
    </row>
    <row r="6" spans="1:28" x14ac:dyDescent="0.3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44" t="s">
        <v>74</v>
      </c>
      <c r="P6" s="60"/>
      <c r="Q6" s="60"/>
      <c r="R6" s="60"/>
      <c r="S6" s="60"/>
      <c r="T6" s="60"/>
      <c r="U6" s="60"/>
      <c r="V6" s="60"/>
      <c r="W6" s="60"/>
      <c r="X6" s="36"/>
      <c r="Y6" s="28"/>
      <c r="Z6" s="28"/>
      <c r="AA6" s="28"/>
      <c r="AB6" s="28"/>
    </row>
    <row r="7" spans="1:28" x14ac:dyDescent="0.35">
      <c r="A7" s="28"/>
      <c r="B7" s="28"/>
      <c r="C7" s="28"/>
      <c r="D7" s="52">
        <v>5.5238095238095239E-2</v>
      </c>
      <c r="E7" s="28"/>
      <c r="F7" s="28"/>
      <c r="G7" s="28"/>
      <c r="H7" s="28"/>
      <c r="I7" s="28"/>
      <c r="J7" s="28"/>
      <c r="K7" s="28"/>
      <c r="L7" s="28"/>
      <c r="M7" s="28"/>
      <c r="N7" s="28"/>
      <c r="O7" s="40" t="s">
        <v>89</v>
      </c>
      <c r="P7" s="60"/>
      <c r="Q7" s="60"/>
      <c r="R7" s="60"/>
      <c r="S7" s="60"/>
      <c r="T7" s="60"/>
      <c r="U7" s="60"/>
      <c r="V7" s="60"/>
      <c r="W7" s="60"/>
      <c r="X7" s="36"/>
      <c r="Y7" s="28"/>
      <c r="Z7" s="28"/>
      <c r="AA7" s="28"/>
      <c r="AB7" s="28"/>
    </row>
    <row r="8" spans="1:28" x14ac:dyDescent="0.35">
      <c r="A8" s="28"/>
      <c r="B8" s="28"/>
      <c r="C8" s="28"/>
      <c r="D8" s="52"/>
      <c r="E8" s="28"/>
      <c r="F8" s="28"/>
      <c r="G8" s="28"/>
      <c r="H8" s="28"/>
      <c r="I8" s="28"/>
      <c r="J8" s="28"/>
      <c r="K8" s="28"/>
      <c r="L8" s="28"/>
      <c r="M8" s="28"/>
      <c r="N8" s="28"/>
      <c r="O8" s="44" t="s">
        <v>75</v>
      </c>
      <c r="P8" s="60"/>
      <c r="Q8" s="60"/>
      <c r="R8" s="60"/>
      <c r="S8" s="60"/>
      <c r="T8" s="60"/>
      <c r="U8" s="60"/>
      <c r="V8" s="60"/>
      <c r="W8" s="60"/>
      <c r="X8" s="36"/>
      <c r="Y8" s="28"/>
      <c r="Z8" s="28"/>
      <c r="AA8" s="28"/>
      <c r="AB8" s="28"/>
    </row>
    <row r="9" spans="1:28" x14ac:dyDescent="0.3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40" t="s">
        <v>76</v>
      </c>
      <c r="P9" s="60"/>
      <c r="Q9" s="60"/>
      <c r="R9" s="60"/>
      <c r="S9" s="60"/>
      <c r="T9" s="60"/>
      <c r="U9" s="60"/>
      <c r="V9" s="60"/>
      <c r="W9" s="60"/>
      <c r="X9" s="36"/>
      <c r="Y9" s="28"/>
      <c r="Z9" s="28"/>
      <c r="AA9" s="28"/>
      <c r="AB9" s="28"/>
    </row>
    <row r="10" spans="1:28" x14ac:dyDescent="0.35">
      <c r="A10" s="28"/>
      <c r="B10" s="28"/>
      <c r="C10" s="51"/>
      <c r="D10" s="51"/>
      <c r="E10" s="51"/>
      <c r="F10" s="51"/>
      <c r="G10" s="28"/>
      <c r="H10" s="28"/>
      <c r="I10" s="28"/>
      <c r="J10" s="28"/>
      <c r="K10" s="28"/>
      <c r="L10" s="28"/>
      <c r="M10" s="28"/>
      <c r="N10" s="28"/>
      <c r="O10" s="44" t="s">
        <v>77</v>
      </c>
      <c r="P10" s="60"/>
      <c r="Q10" s="60"/>
      <c r="R10" s="60"/>
      <c r="S10" s="60"/>
      <c r="T10" s="60"/>
      <c r="U10" s="60"/>
      <c r="V10" s="60"/>
      <c r="W10" s="60"/>
      <c r="X10" s="36"/>
      <c r="Y10" s="28"/>
      <c r="Z10" s="28"/>
      <c r="AA10" s="28"/>
      <c r="AB10" s="28"/>
    </row>
    <row r="11" spans="1:28" x14ac:dyDescent="0.35">
      <c r="A11" s="28"/>
      <c r="B11" s="28"/>
      <c r="C11" s="28" t="s">
        <v>0</v>
      </c>
      <c r="D11" s="28"/>
      <c r="E11" s="28">
        <v>39000</v>
      </c>
      <c r="F11" s="28"/>
      <c r="G11" s="28"/>
      <c r="H11" s="28"/>
      <c r="I11" s="28"/>
      <c r="J11" s="28"/>
      <c r="K11" s="28"/>
      <c r="L11" s="28"/>
      <c r="M11" s="28"/>
      <c r="N11" s="28"/>
      <c r="O11" s="40" t="s">
        <v>78</v>
      </c>
      <c r="P11" s="60"/>
      <c r="Q11" s="60"/>
      <c r="R11" s="60"/>
      <c r="S11" s="60"/>
      <c r="T11" s="60"/>
      <c r="U11" s="60"/>
      <c r="V11" s="60"/>
      <c r="W11" s="60"/>
      <c r="X11" s="36"/>
      <c r="Y11" s="28"/>
      <c r="Z11" s="28"/>
      <c r="AA11" s="28"/>
      <c r="AB11" s="28"/>
    </row>
    <row r="12" spans="1:28" x14ac:dyDescent="0.35">
      <c r="A12" s="28"/>
      <c r="B12" s="28"/>
      <c r="C12" s="28" t="s">
        <v>1</v>
      </c>
      <c r="D12" s="28"/>
      <c r="E12" s="28">
        <v>0</v>
      </c>
      <c r="F12" s="28"/>
      <c r="G12" s="28"/>
      <c r="H12" s="28"/>
      <c r="I12" s="28"/>
      <c r="J12" s="28"/>
      <c r="K12" s="28"/>
      <c r="L12" s="28"/>
      <c r="M12" s="28"/>
      <c r="N12" s="28"/>
      <c r="O12" s="44" t="s">
        <v>79</v>
      </c>
      <c r="P12" s="60"/>
      <c r="Q12" s="60"/>
      <c r="R12" s="60"/>
      <c r="S12" s="60"/>
      <c r="T12" s="60"/>
      <c r="U12" s="60"/>
      <c r="V12" s="60"/>
      <c r="W12" s="60"/>
      <c r="X12" s="36"/>
      <c r="Y12" s="28"/>
      <c r="Z12" s="28"/>
      <c r="AA12" s="28"/>
      <c r="AB12" s="28"/>
    </row>
    <row r="13" spans="1:28" x14ac:dyDescent="0.35">
      <c r="A13" s="28"/>
      <c r="B13" s="28"/>
      <c r="C13" s="28" t="s">
        <v>2</v>
      </c>
      <c r="D13" s="28"/>
      <c r="E13" s="28">
        <v>7000</v>
      </c>
      <c r="F13" s="28"/>
      <c r="G13" s="28"/>
      <c r="H13" s="28"/>
      <c r="I13" s="28"/>
      <c r="J13" s="28"/>
      <c r="K13" s="28"/>
      <c r="L13" s="28"/>
      <c r="M13" s="28"/>
      <c r="N13" s="28"/>
      <c r="O13" s="40" t="s">
        <v>110</v>
      </c>
      <c r="P13" s="60"/>
      <c r="Q13" s="60"/>
      <c r="R13" s="60"/>
      <c r="S13" s="60"/>
      <c r="T13" s="60"/>
      <c r="U13" s="60"/>
      <c r="V13" s="60"/>
      <c r="W13" s="60"/>
      <c r="X13" s="36"/>
      <c r="Y13" s="28"/>
      <c r="Z13" s="28"/>
      <c r="AA13" s="28"/>
      <c r="AB13" s="28"/>
    </row>
    <row r="14" spans="1:28" x14ac:dyDescent="0.35">
      <c r="A14" s="28"/>
      <c r="B14" s="28"/>
      <c r="C14" s="28" t="s">
        <v>3</v>
      </c>
      <c r="D14" s="28"/>
      <c r="E14" s="28">
        <v>28000</v>
      </c>
      <c r="F14" s="28"/>
      <c r="G14" s="28"/>
      <c r="H14" s="28"/>
      <c r="I14" s="28"/>
      <c r="J14" s="28"/>
      <c r="K14" s="28"/>
      <c r="L14" s="28"/>
      <c r="M14" s="28"/>
      <c r="N14" s="28"/>
      <c r="O14" s="40"/>
      <c r="P14" s="60" t="s">
        <v>80</v>
      </c>
      <c r="Q14" s="60" t="s">
        <v>81</v>
      </c>
      <c r="R14" s="60"/>
      <c r="S14" s="60"/>
      <c r="T14" s="60"/>
      <c r="U14" s="60"/>
      <c r="V14" s="60"/>
      <c r="W14" s="60"/>
      <c r="X14" s="36"/>
      <c r="Y14" s="28"/>
      <c r="Z14" s="28"/>
      <c r="AA14" s="28"/>
      <c r="AB14" s="28"/>
    </row>
    <row r="15" spans="1:28" x14ac:dyDescent="0.35">
      <c r="A15" s="28"/>
      <c r="B15" s="28"/>
      <c r="C15" s="28" t="s">
        <v>4</v>
      </c>
      <c r="D15" s="28"/>
      <c r="E15" s="28">
        <v>2000</v>
      </c>
      <c r="F15" s="28"/>
      <c r="G15" s="28"/>
      <c r="H15" s="28"/>
      <c r="I15" s="28"/>
      <c r="J15" s="28"/>
      <c r="K15" s="28"/>
      <c r="L15" s="28"/>
      <c r="M15" s="28"/>
      <c r="N15" s="28"/>
      <c r="O15" s="40"/>
      <c r="P15" s="60" t="s">
        <v>80</v>
      </c>
      <c r="Q15" s="60" t="s">
        <v>90</v>
      </c>
      <c r="R15" s="60"/>
      <c r="S15" s="60"/>
      <c r="T15" s="60"/>
      <c r="U15" s="60"/>
      <c r="V15" s="60"/>
      <c r="W15" s="60"/>
      <c r="X15" s="36"/>
      <c r="Y15" s="28"/>
      <c r="Z15" s="28"/>
      <c r="AA15" s="28"/>
      <c r="AB15" s="28"/>
    </row>
    <row r="16" spans="1:28" x14ac:dyDescent="0.35">
      <c r="A16" s="28"/>
      <c r="B16" s="28"/>
      <c r="C16" s="28" t="s">
        <v>5</v>
      </c>
      <c r="D16" s="28"/>
      <c r="E16" s="28">
        <v>2000</v>
      </c>
      <c r="F16" s="28"/>
      <c r="G16" s="28"/>
      <c r="H16" s="28"/>
      <c r="I16" s="28"/>
      <c r="J16" s="28"/>
      <c r="K16" s="28"/>
      <c r="L16" s="28"/>
      <c r="M16" s="28"/>
      <c r="N16" s="28"/>
      <c r="O16" s="44" t="s">
        <v>82</v>
      </c>
      <c r="P16" s="60"/>
      <c r="Q16" s="60"/>
      <c r="R16" s="60"/>
      <c r="S16" s="60"/>
      <c r="T16" s="60"/>
      <c r="U16" s="60"/>
      <c r="V16" s="60"/>
      <c r="W16" s="60"/>
      <c r="X16" s="36"/>
      <c r="Y16" s="28"/>
      <c r="Z16" s="28"/>
      <c r="AA16" s="28"/>
      <c r="AB16" s="28"/>
    </row>
    <row r="17" spans="1:28" x14ac:dyDescent="0.35">
      <c r="A17" s="54"/>
      <c r="B17" s="55"/>
      <c r="C17" s="54" t="s">
        <v>65</v>
      </c>
      <c r="D17" s="54"/>
      <c r="E17" s="54">
        <f>SUM(E11:E16)</f>
        <v>78000</v>
      </c>
      <c r="F17" s="55"/>
      <c r="G17" s="54"/>
      <c r="H17" s="28"/>
      <c r="I17" s="28"/>
      <c r="J17" s="28"/>
      <c r="K17" s="28"/>
      <c r="L17" s="28"/>
      <c r="M17" s="28"/>
      <c r="N17" s="28"/>
      <c r="O17" s="40" t="s">
        <v>83</v>
      </c>
      <c r="P17" s="60"/>
      <c r="Q17" s="60"/>
      <c r="R17" s="60"/>
      <c r="S17" s="60"/>
      <c r="T17" s="60"/>
      <c r="U17" s="60"/>
      <c r="V17" s="60"/>
      <c r="W17" s="60"/>
      <c r="X17" s="36"/>
      <c r="Y17" s="28"/>
      <c r="Z17" s="28"/>
      <c r="AA17" s="28"/>
      <c r="AB17" s="28"/>
    </row>
    <row r="18" spans="1:28" x14ac:dyDescent="0.35">
      <c r="A18" s="54"/>
      <c r="B18" s="54"/>
      <c r="C18" s="54" t="s">
        <v>30</v>
      </c>
      <c r="D18" s="54"/>
      <c r="E18" s="54">
        <f>+$M$33*0.75</f>
        <v>48000</v>
      </c>
      <c r="F18" s="54"/>
      <c r="G18" s="54"/>
      <c r="H18" s="28"/>
      <c r="I18" s="28"/>
      <c r="J18" s="28"/>
      <c r="K18" s="28"/>
      <c r="L18" s="28"/>
      <c r="M18" s="28"/>
      <c r="N18" s="28"/>
      <c r="O18" s="44" t="s">
        <v>84</v>
      </c>
      <c r="P18" s="60"/>
      <c r="Q18" s="60"/>
      <c r="R18" s="60"/>
      <c r="S18" s="60"/>
      <c r="T18" s="60"/>
      <c r="U18" s="60"/>
      <c r="V18" s="60"/>
      <c r="W18" s="60"/>
      <c r="X18" s="36"/>
      <c r="Y18" s="28"/>
      <c r="Z18" s="28"/>
      <c r="AA18" s="28"/>
      <c r="AB18" s="28"/>
    </row>
    <row r="19" spans="1:28" ht="19.5" customHeight="1" x14ac:dyDescent="0.35">
      <c r="A19" s="54"/>
      <c r="B19" s="54"/>
      <c r="C19" s="54" t="s">
        <v>35</v>
      </c>
      <c r="D19" s="54"/>
      <c r="E19" s="56">
        <f>+J36/E17</f>
        <v>9.2307692307692313E-2</v>
      </c>
      <c r="F19" s="54"/>
      <c r="G19" s="54"/>
      <c r="H19" s="28"/>
      <c r="I19" s="28"/>
      <c r="J19" s="28"/>
      <c r="K19" s="28"/>
      <c r="L19" s="28"/>
      <c r="M19" s="28"/>
      <c r="N19" s="28"/>
      <c r="O19" s="35" t="s">
        <v>91</v>
      </c>
      <c r="P19" s="60"/>
      <c r="Q19" s="60"/>
      <c r="R19" s="60"/>
      <c r="S19" s="60"/>
      <c r="T19" s="60"/>
      <c r="U19" s="60"/>
      <c r="V19" s="60"/>
      <c r="W19" s="60"/>
      <c r="X19" s="36"/>
      <c r="Y19" s="28"/>
      <c r="Z19" s="28"/>
      <c r="AA19" s="28"/>
      <c r="AB19" s="28"/>
    </row>
    <row r="20" spans="1:28" x14ac:dyDescent="0.35">
      <c r="A20" s="54"/>
      <c r="B20" s="54"/>
      <c r="C20" s="54" t="s">
        <v>38</v>
      </c>
      <c r="D20" s="26"/>
      <c r="E20" s="57">
        <v>0.25</v>
      </c>
      <c r="F20" s="54"/>
      <c r="G20" s="54"/>
      <c r="H20" s="28"/>
      <c r="I20" s="28"/>
      <c r="J20" s="28"/>
      <c r="K20" s="28"/>
      <c r="L20" s="28"/>
      <c r="M20" s="28"/>
      <c r="N20" s="28"/>
      <c r="O20" s="35" t="s">
        <v>92</v>
      </c>
      <c r="P20" s="60"/>
      <c r="Q20" s="60"/>
      <c r="R20" s="60"/>
      <c r="S20" s="60"/>
      <c r="T20" s="60"/>
      <c r="U20" s="60"/>
      <c r="V20" s="60"/>
      <c r="W20" s="60"/>
      <c r="X20" s="36"/>
      <c r="Y20" s="28"/>
      <c r="Z20" s="28"/>
      <c r="AA20" s="28"/>
      <c r="AB20" s="28"/>
    </row>
    <row r="21" spans="1:28" x14ac:dyDescent="0.35">
      <c r="A21" s="28"/>
      <c r="B21" s="28"/>
      <c r="C21" s="28" t="s">
        <v>47</v>
      </c>
      <c r="D21" s="31"/>
      <c r="E21" s="58">
        <v>0.02</v>
      </c>
      <c r="F21" s="28"/>
      <c r="G21" s="28"/>
      <c r="H21" s="28"/>
      <c r="I21" s="28"/>
      <c r="J21" s="28"/>
      <c r="K21" s="28"/>
      <c r="L21" s="28"/>
      <c r="M21" s="28"/>
      <c r="N21" s="28"/>
      <c r="O21" s="49" t="s">
        <v>85</v>
      </c>
      <c r="P21" s="60"/>
      <c r="Q21" s="60"/>
      <c r="R21" s="60"/>
      <c r="S21" s="60"/>
      <c r="T21" s="60"/>
      <c r="U21" s="60"/>
      <c r="V21" s="60"/>
      <c r="W21" s="60"/>
      <c r="X21" s="36"/>
      <c r="Y21" s="28"/>
      <c r="Z21" s="28"/>
      <c r="AA21" s="28"/>
      <c r="AB21" s="28"/>
    </row>
    <row r="22" spans="1:28" ht="15" thickBot="1" x14ac:dyDescent="0.4">
      <c r="A22" s="28"/>
      <c r="B22" s="28"/>
      <c r="C22" s="28" t="s">
        <v>58</v>
      </c>
      <c r="D22" s="31"/>
      <c r="E22" s="31">
        <f>+'Beta Calculation'!E8</f>
        <v>1</v>
      </c>
      <c r="F22" s="28"/>
      <c r="G22" s="28"/>
      <c r="H22" s="28"/>
      <c r="I22" s="28"/>
      <c r="J22" s="28"/>
      <c r="K22" s="28"/>
      <c r="L22" s="28"/>
      <c r="M22" s="28"/>
      <c r="N22" s="28"/>
      <c r="O22" s="35" t="s">
        <v>86</v>
      </c>
      <c r="P22" s="60"/>
      <c r="Q22" s="60"/>
      <c r="R22" s="60"/>
      <c r="S22" s="60"/>
      <c r="T22" s="60"/>
      <c r="U22" s="60"/>
      <c r="V22" s="60"/>
      <c r="W22" s="60"/>
      <c r="X22" s="36"/>
      <c r="Y22" s="28"/>
      <c r="Z22" s="28"/>
      <c r="AA22" s="28"/>
      <c r="AB22" s="28"/>
    </row>
    <row r="23" spans="1:28" ht="23.5" x14ac:dyDescent="0.55000000000000004">
      <c r="A23" s="28"/>
      <c r="B23" s="28"/>
      <c r="C23" s="28" t="s">
        <v>59</v>
      </c>
      <c r="D23" s="28"/>
      <c r="E23" s="33">
        <v>0.05</v>
      </c>
      <c r="F23" s="28"/>
      <c r="G23" s="28"/>
      <c r="H23" s="28"/>
      <c r="I23" s="65" t="s">
        <v>105</v>
      </c>
      <c r="J23" s="66"/>
      <c r="K23" s="67">
        <f>IRR('DL17 0PZ Matrix'!$H$49:$H$54)</f>
        <v>6.7317538478162797E-2</v>
      </c>
      <c r="L23" s="28"/>
      <c r="M23" s="33"/>
      <c r="N23" s="28"/>
      <c r="O23" s="49" t="s">
        <v>87</v>
      </c>
      <c r="P23" s="60"/>
      <c r="Q23" s="60"/>
      <c r="R23" s="60"/>
      <c r="S23" s="60"/>
      <c r="T23" s="60"/>
      <c r="U23" s="60"/>
      <c r="V23" s="60"/>
      <c r="W23" s="60"/>
      <c r="X23" s="36"/>
      <c r="Y23" s="28"/>
      <c r="Z23" s="28"/>
      <c r="AA23" s="28"/>
      <c r="AB23" s="28"/>
    </row>
    <row r="24" spans="1:28" ht="24" thickBot="1" x14ac:dyDescent="0.6">
      <c r="A24" s="28"/>
      <c r="B24" s="28"/>
      <c r="C24" s="28" t="s">
        <v>96</v>
      </c>
      <c r="D24" s="28"/>
      <c r="E24" s="33">
        <f>+'Beta Calculation'!C7</f>
        <v>0.06</v>
      </c>
      <c r="F24" s="28"/>
      <c r="G24" s="28"/>
      <c r="H24" s="28"/>
      <c r="I24" s="68" t="s">
        <v>106</v>
      </c>
      <c r="J24" s="69"/>
      <c r="K24" s="70">
        <f>SUM('DL17 0PZ Matrix'!$H$57/'DL17 0PZ Matrix'!$H$56)^(1/5)-1</f>
        <v>5.6663426052770971E-2</v>
      </c>
      <c r="L24" s="28"/>
      <c r="M24" s="64"/>
      <c r="N24" s="28"/>
      <c r="O24" s="35" t="s">
        <v>97</v>
      </c>
      <c r="P24" s="60"/>
      <c r="Q24" s="60"/>
      <c r="R24" s="60"/>
      <c r="S24" s="60"/>
      <c r="T24" s="60"/>
      <c r="U24" s="60"/>
      <c r="V24" s="60"/>
      <c r="W24" s="60"/>
      <c r="X24" s="36"/>
      <c r="Y24" s="28"/>
      <c r="Z24" s="28"/>
      <c r="AA24" s="28"/>
      <c r="AB24" s="28"/>
    </row>
    <row r="25" spans="1:28" x14ac:dyDescent="0.35">
      <c r="A25" s="28"/>
      <c r="B25" s="28"/>
      <c r="C25" s="28" t="s">
        <v>61</v>
      </c>
      <c r="D25" s="28"/>
      <c r="E25" s="33">
        <v>0.05</v>
      </c>
      <c r="F25" s="28"/>
      <c r="G25" s="28"/>
      <c r="H25" s="28"/>
      <c r="I25" s="28"/>
      <c r="J25" s="28"/>
      <c r="K25" s="28"/>
      <c r="L25" s="28"/>
      <c r="M25" s="28"/>
      <c r="N25" s="28"/>
      <c r="O25" s="35" t="s">
        <v>98</v>
      </c>
      <c r="P25" s="60"/>
      <c r="Q25" s="60"/>
      <c r="R25" s="60"/>
      <c r="S25" s="60"/>
      <c r="T25" s="60"/>
      <c r="U25" s="60"/>
      <c r="V25" s="60"/>
      <c r="W25" s="60"/>
      <c r="X25" s="36"/>
      <c r="Y25" s="28"/>
      <c r="Z25" s="28"/>
      <c r="AA25" s="28"/>
      <c r="AB25" s="28"/>
    </row>
    <row r="26" spans="1:28" ht="23.5" x14ac:dyDescent="0.55000000000000004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62"/>
      <c r="M26" s="28"/>
      <c r="N26" s="28"/>
      <c r="O26" s="35" t="s">
        <v>99</v>
      </c>
      <c r="P26" s="60"/>
      <c r="Q26" s="60"/>
      <c r="R26" s="60"/>
      <c r="S26" s="60"/>
      <c r="T26" s="60"/>
      <c r="U26" s="60"/>
      <c r="V26" s="60"/>
      <c r="W26" s="60"/>
      <c r="X26" s="36"/>
      <c r="Y26" s="28"/>
      <c r="Z26" s="28"/>
      <c r="AA26" s="28"/>
      <c r="AB26" s="28"/>
    </row>
    <row r="27" spans="1:28" ht="20.5" customHeight="1" x14ac:dyDescent="0.65">
      <c r="A27" s="28"/>
      <c r="B27" s="28"/>
      <c r="C27" s="29"/>
      <c r="D27" s="27"/>
      <c r="E27" s="30"/>
      <c r="F27" s="28"/>
      <c r="G27" s="28"/>
      <c r="H27" s="28"/>
      <c r="I27" s="28"/>
      <c r="J27" s="28"/>
      <c r="K27" s="28"/>
      <c r="L27" s="28"/>
      <c r="M27" s="28"/>
      <c r="N27" s="28"/>
      <c r="O27" s="35" t="s">
        <v>100</v>
      </c>
      <c r="P27" s="60"/>
      <c r="Q27" s="60"/>
      <c r="R27" s="60"/>
      <c r="S27" s="60"/>
      <c r="T27" s="60"/>
      <c r="U27" s="60"/>
      <c r="V27" s="60"/>
      <c r="W27" s="60"/>
      <c r="X27" s="36"/>
      <c r="Y27" s="28"/>
      <c r="Z27" s="28"/>
      <c r="AA27" s="28"/>
      <c r="AB27" s="28"/>
    </row>
    <row r="28" spans="1:28" ht="12.5" customHeight="1" x14ac:dyDescent="0.35">
      <c r="A28" s="28"/>
      <c r="B28" s="28"/>
      <c r="C28" s="28"/>
      <c r="D28" s="27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35" t="s">
        <v>101</v>
      </c>
      <c r="P28" s="60"/>
      <c r="Q28" s="60"/>
      <c r="R28" s="60"/>
      <c r="S28" s="60"/>
      <c r="T28" s="60"/>
      <c r="U28" s="60"/>
      <c r="V28" s="60"/>
      <c r="W28" s="60"/>
      <c r="X28" s="36"/>
      <c r="Y28" s="28"/>
      <c r="Z28" s="28"/>
      <c r="AA28" s="28"/>
      <c r="AB28" s="28"/>
    </row>
    <row r="29" spans="1:28" ht="19" customHeight="1" x14ac:dyDescent="0.35">
      <c r="A29" s="28"/>
      <c r="B29" s="28"/>
      <c r="C29" s="28"/>
      <c r="D29" s="27">
        <f>SUM('DL17 0PZ Matrix'!$D$46:$H$47)</f>
        <v>74454.553301761436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35" t="s">
        <v>102</v>
      </c>
      <c r="P29" s="60"/>
      <c r="Q29" s="60"/>
      <c r="R29" s="60"/>
      <c r="S29" s="60"/>
      <c r="T29" s="60"/>
      <c r="U29" s="60"/>
      <c r="V29" s="60"/>
      <c r="W29" s="60"/>
      <c r="X29" s="36"/>
      <c r="Y29" s="28"/>
      <c r="Z29" s="28"/>
      <c r="AA29" s="28"/>
      <c r="AB29" s="28"/>
    </row>
    <row r="30" spans="1:28" ht="15" thickBot="1" x14ac:dyDescent="0.4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37" t="s">
        <v>109</v>
      </c>
      <c r="P30" s="38"/>
      <c r="Q30" s="38"/>
      <c r="R30" s="38"/>
      <c r="S30" s="38"/>
      <c r="T30" s="38"/>
      <c r="U30" s="38"/>
      <c r="V30" s="38"/>
      <c r="W30" s="38"/>
      <c r="X30" s="39"/>
      <c r="Y30" s="28"/>
      <c r="Z30" s="28"/>
      <c r="AA30" s="28"/>
      <c r="AB30" s="28"/>
    </row>
    <row r="31" spans="1:28" ht="28.5" x14ac:dyDescent="0.55000000000000004">
      <c r="A31" s="28"/>
      <c r="B31" s="28"/>
      <c r="C31" s="28"/>
      <c r="D31" s="28"/>
      <c r="E31" s="28"/>
      <c r="F31" s="28"/>
      <c r="G31" s="28"/>
      <c r="H31" s="28"/>
      <c r="I31" s="28"/>
      <c r="J31" s="32" t="s">
        <v>67</v>
      </c>
      <c r="K31" s="28"/>
      <c r="L31" s="28"/>
      <c r="M31" s="27">
        <v>65000</v>
      </c>
      <c r="N31" s="28"/>
      <c r="O31" s="27"/>
      <c r="P31" s="28"/>
      <c r="Q31" s="28"/>
      <c r="R31" s="32"/>
      <c r="S31" s="28"/>
      <c r="T31" s="28"/>
      <c r="U31" s="28"/>
      <c r="V31" s="28"/>
      <c r="W31" s="28"/>
      <c r="X31" s="27"/>
      <c r="Y31" s="28"/>
      <c r="Z31" s="28"/>
      <c r="AA31" s="28"/>
      <c r="AB31" s="28"/>
    </row>
    <row r="32" spans="1:28" ht="28.5" x14ac:dyDescent="0.55000000000000004">
      <c r="A32" s="28"/>
      <c r="B32" s="28"/>
      <c r="C32" s="28"/>
      <c r="D32" s="28"/>
      <c r="E32" s="28"/>
      <c r="F32" s="28"/>
      <c r="G32" s="28"/>
      <c r="H32" s="28"/>
      <c r="I32" s="28"/>
      <c r="J32" s="32" t="s">
        <v>68</v>
      </c>
      <c r="K32" s="28"/>
      <c r="L32" s="28"/>
      <c r="M32" s="27">
        <v>63000</v>
      </c>
      <c r="N32" s="28"/>
      <c r="O32" s="27"/>
      <c r="P32" s="28"/>
      <c r="Q32" s="28"/>
      <c r="R32" s="32"/>
      <c r="S32" s="28"/>
      <c r="T32" s="28"/>
      <c r="U32" s="28"/>
      <c r="V32" s="28"/>
      <c r="W32" s="28"/>
      <c r="X32" s="27"/>
      <c r="Y32" s="28"/>
      <c r="Z32" s="28"/>
      <c r="AA32" s="28"/>
      <c r="AB32" s="28"/>
    </row>
    <row r="33" spans="1:28" ht="28.5" x14ac:dyDescent="0.55000000000000004">
      <c r="A33" s="28"/>
      <c r="B33" s="28"/>
      <c r="C33" s="28"/>
      <c r="D33" s="28"/>
      <c r="E33" s="28"/>
      <c r="F33" s="28"/>
      <c r="G33" s="28"/>
      <c r="H33" s="28"/>
      <c r="I33" s="28"/>
      <c r="J33" s="32" t="s">
        <v>69</v>
      </c>
      <c r="K33" s="28"/>
      <c r="L33" s="28"/>
      <c r="M33" s="27">
        <f>AVERAGE(M28:M32)</f>
        <v>64000</v>
      </c>
      <c r="N33" s="28"/>
      <c r="O33" s="27"/>
      <c r="P33" s="28"/>
      <c r="Q33" s="28"/>
      <c r="R33" s="32" t="s">
        <v>70</v>
      </c>
      <c r="S33" s="28"/>
      <c r="T33" s="28"/>
      <c r="U33" s="28"/>
      <c r="V33" s="28"/>
      <c r="W33" s="28"/>
      <c r="X33" s="27">
        <f>+M33</f>
        <v>64000</v>
      </c>
      <c r="Y33" s="28"/>
      <c r="Z33" s="28"/>
      <c r="AA33" s="28"/>
      <c r="AB33" s="28"/>
    </row>
    <row r="34" spans="1:28" ht="28.5" x14ac:dyDescent="0.55000000000000004">
      <c r="A34" s="28"/>
      <c r="B34" s="28"/>
      <c r="C34" s="28"/>
      <c r="D34" s="28"/>
      <c r="E34" s="28"/>
      <c r="F34" s="28"/>
      <c r="G34" s="28"/>
      <c r="H34" s="28"/>
      <c r="I34" s="28"/>
      <c r="J34" s="46">
        <v>600</v>
      </c>
      <c r="K34" s="28"/>
      <c r="L34" s="28" t="s">
        <v>103</v>
      </c>
      <c r="M34" s="28"/>
      <c r="N34" s="28"/>
      <c r="O34" s="28"/>
      <c r="P34" s="28"/>
      <c r="Q34" s="28"/>
      <c r="R34" s="32" t="s">
        <v>111</v>
      </c>
      <c r="S34" s="28"/>
      <c r="T34" s="28"/>
      <c r="U34" s="28"/>
      <c r="V34" s="28"/>
      <c r="W34" s="28"/>
      <c r="X34" s="27">
        <f>+D29</f>
        <v>74454.553301761436</v>
      </c>
      <c r="Y34" s="28"/>
      <c r="Z34" s="28"/>
      <c r="AA34" s="28"/>
      <c r="AB34" s="28"/>
    </row>
    <row r="35" spans="1:28" ht="28.5" x14ac:dyDescent="0.55000000000000004">
      <c r="A35" s="28"/>
      <c r="B35" s="28"/>
      <c r="C35" s="28"/>
      <c r="D35" s="28"/>
      <c r="E35" s="28"/>
      <c r="F35" s="28"/>
      <c r="G35" s="28"/>
      <c r="H35" s="28"/>
      <c r="I35" s="28"/>
      <c r="J35" s="11" t="s">
        <v>42</v>
      </c>
      <c r="K35" s="11" t="s">
        <v>43</v>
      </c>
      <c r="L35" s="11" t="s">
        <v>44</v>
      </c>
      <c r="M35" s="11" t="s">
        <v>45</v>
      </c>
      <c r="N35" s="11" t="s">
        <v>46</v>
      </c>
      <c r="O35" s="28"/>
      <c r="P35" s="28"/>
      <c r="Q35" s="28"/>
      <c r="R35" s="32" t="s">
        <v>71</v>
      </c>
      <c r="S35" s="28"/>
      <c r="T35" s="28"/>
      <c r="U35" s="28"/>
      <c r="V35" s="28"/>
      <c r="W35" s="28"/>
      <c r="X35" s="27">
        <f>+X34-X33</f>
        <v>10454.553301761436</v>
      </c>
      <c r="Y35" s="28"/>
      <c r="Z35" s="28"/>
      <c r="AA35" s="28"/>
      <c r="AB35" s="28"/>
    </row>
    <row r="36" spans="1:28" x14ac:dyDescent="0.35">
      <c r="A36" s="28"/>
      <c r="B36" s="28"/>
      <c r="C36" s="28"/>
      <c r="D36" s="28"/>
      <c r="E36" s="28"/>
      <c r="F36" s="28"/>
      <c r="G36" s="28"/>
      <c r="H36" s="28"/>
      <c r="I36" s="28"/>
      <c r="J36" s="45">
        <f>+J34*12</f>
        <v>7200</v>
      </c>
      <c r="K36" s="45">
        <f>+J36*(1+$E$21)</f>
        <v>7344</v>
      </c>
      <c r="L36" s="45">
        <f>+K36*(1+$E$21)</f>
        <v>7490.88</v>
      </c>
      <c r="M36" s="45">
        <f>+L36*(1+$E$21)</f>
        <v>7640.6976000000004</v>
      </c>
      <c r="N36" s="45">
        <f>+M36*(1+$E$21)</f>
        <v>7793.5115520000008</v>
      </c>
      <c r="O36" s="28"/>
      <c r="P36" s="28"/>
      <c r="Q36" s="28"/>
      <c r="R36" s="28"/>
      <c r="S36" s="28"/>
      <c r="T36" s="28"/>
      <c r="U36" s="28"/>
      <c r="V36" s="28"/>
      <c r="W36" s="33"/>
      <c r="X36" s="28"/>
      <c r="Y36" s="28"/>
      <c r="Z36" s="28"/>
      <c r="AA36" s="28"/>
      <c r="AB36" s="28"/>
    </row>
    <row r="37" spans="1:28" x14ac:dyDescent="0.3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33"/>
      <c r="X37" s="28"/>
      <c r="Y37" s="28"/>
      <c r="Z37" s="28"/>
      <c r="AA37" s="28"/>
      <c r="AB37" s="28"/>
    </row>
  </sheetData>
  <pageMargins left="0.7" right="0.7" top="0.75" bottom="0.75" header="0.3" footer="0.3"/>
  <pageSetup scale="2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72962-4B95-4869-9700-348BC3858C96}">
  <sheetPr codeName="Sheet4"/>
  <dimension ref="A1:E8"/>
  <sheetViews>
    <sheetView workbookViewId="0"/>
  </sheetViews>
  <sheetFormatPr defaultRowHeight="14.5" x14ac:dyDescent="0.35"/>
  <cols>
    <col min="2" max="2" width="14.81640625" bestFit="1" customWidth="1"/>
    <col min="3" max="3" width="11.26953125" bestFit="1" customWidth="1"/>
    <col min="4" max="4" width="10.36328125" bestFit="1" customWidth="1"/>
    <col min="5" max="5" width="9.54296875" bestFit="1" customWidth="1"/>
  </cols>
  <sheetData>
    <row r="1" spans="1:5" x14ac:dyDescent="0.35">
      <c r="A1" s="13" t="s">
        <v>52</v>
      </c>
      <c r="B1" s="14" t="s">
        <v>53</v>
      </c>
      <c r="C1" s="14" t="s">
        <v>54</v>
      </c>
      <c r="D1" s="14" t="s">
        <v>55</v>
      </c>
      <c r="E1" s="15" t="s">
        <v>57</v>
      </c>
    </row>
    <row r="2" spans="1:5" x14ac:dyDescent="0.35">
      <c r="A2" s="16">
        <v>1</v>
      </c>
      <c r="B2" s="17">
        <v>0.05</v>
      </c>
      <c r="C2" s="17">
        <v>0.04</v>
      </c>
      <c r="D2" s="18">
        <f>(B2-$B$7)*(C2-$C$7)</f>
        <v>3.9999999999999975E-4</v>
      </c>
      <c r="E2" s="19">
        <f>(C2-$C$7)^2</f>
        <v>3.9999999999999986E-4</v>
      </c>
    </row>
    <row r="3" spans="1:5" x14ac:dyDescent="0.35">
      <c r="A3" s="16">
        <v>2</v>
      </c>
      <c r="B3" s="17">
        <v>0.06</v>
      </c>
      <c r="C3" s="17">
        <v>0.05</v>
      </c>
      <c r="D3" s="18">
        <f>(B3-$B$7)*(C3-$C$7)</f>
        <v>9.9999999999999896E-5</v>
      </c>
      <c r="E3" s="19">
        <f>(C3-$C$7)^2</f>
        <v>9.9999999999999896E-5</v>
      </c>
    </row>
    <row r="4" spans="1:5" x14ac:dyDescent="0.35">
      <c r="A4" s="16">
        <v>3</v>
      </c>
      <c r="B4" s="17">
        <v>7.0000000000000007E-2</v>
      </c>
      <c r="C4" s="17">
        <v>0.06</v>
      </c>
      <c r="D4" s="18">
        <f>(B4-$B$7)*(C4-$C$7)</f>
        <v>0</v>
      </c>
      <c r="E4" s="19">
        <f>(C4-$C$7)^2</f>
        <v>0</v>
      </c>
    </row>
    <row r="5" spans="1:5" x14ac:dyDescent="0.35">
      <c r="A5" s="16">
        <v>4</v>
      </c>
      <c r="B5" s="17">
        <v>0.08</v>
      </c>
      <c r="C5" s="17">
        <v>7.0000000000000007E-2</v>
      </c>
      <c r="D5" s="18">
        <f>(B5-$B$7)*(C5-$C$7)</f>
        <v>1.0000000000000018E-4</v>
      </c>
      <c r="E5" s="19">
        <f>(C5-$C$7)^2</f>
        <v>1.0000000000000018E-4</v>
      </c>
    </row>
    <row r="6" spans="1:5" x14ac:dyDescent="0.35">
      <c r="A6" s="16">
        <v>5</v>
      </c>
      <c r="B6" s="17">
        <v>0.09</v>
      </c>
      <c r="C6" s="17">
        <v>0.08</v>
      </c>
      <c r="D6" s="18">
        <f>(B6-$B$7)*(C6-$C$7)</f>
        <v>4.0000000000000018E-4</v>
      </c>
      <c r="E6" s="19">
        <f>(C6-$C$7)^2</f>
        <v>4.0000000000000018E-4</v>
      </c>
    </row>
    <row r="7" spans="1:5" x14ac:dyDescent="0.35">
      <c r="A7" s="16" t="s">
        <v>56</v>
      </c>
      <c r="B7" s="17">
        <f>AVERAGE(B2:B6)</f>
        <v>6.9999999999999993E-2</v>
      </c>
      <c r="C7" s="17">
        <f>AVERAGE(C2:C6)</f>
        <v>0.06</v>
      </c>
      <c r="D7" s="18">
        <f>SUM(D2:D6)/COUNT(D2:D6)-1</f>
        <v>-0.99980000000000002</v>
      </c>
      <c r="E7" s="20">
        <f>SUM(E2:E6)/COUNT(E2:E6)-1</f>
        <v>-0.99980000000000002</v>
      </c>
    </row>
    <row r="8" spans="1:5" ht="15" thickBot="1" x14ac:dyDescent="0.4">
      <c r="A8" s="21" t="s">
        <v>58</v>
      </c>
      <c r="B8" s="22"/>
      <c r="C8" s="22"/>
      <c r="D8" s="22"/>
      <c r="E8" s="23">
        <f>+D7/E7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DL17 0PZ</vt:lpstr>
      <vt:lpstr>DL17 0PZ Matrix</vt:lpstr>
      <vt:lpstr>Dashboard</vt:lpstr>
      <vt:lpstr>Beta Calculation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Hemang Asher</dc:creator>
  <cp:lastModifiedBy>Hemang Asher</cp:lastModifiedBy>
  <cp:lastPrinted>2025-04-18T11:22:38Z</cp:lastPrinted>
  <dcterms:created xsi:type="dcterms:W3CDTF">2025-03-04T21:31:25Z</dcterms:created>
  <dcterms:modified xsi:type="dcterms:W3CDTF">2025-04-18T13:52:46Z</dcterms:modified>
</cp:coreProperties>
</file>